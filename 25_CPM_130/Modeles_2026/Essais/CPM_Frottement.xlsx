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TP_Documents_PSI\25_CPM_130\Modeles_2026\Essais\"/>
    </mc:Choice>
  </mc:AlternateContent>
  <xr:revisionPtr revIDLastSave="0" documentId="13_ncr:1_{D5B3F369-CFC8-4976-B0F3-58BFE0E7BD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9" i="1" l="1"/>
  <c r="O80" i="1"/>
  <c r="O81" i="1"/>
  <c r="O82" i="1"/>
  <c r="O83" i="1"/>
  <c r="O84" i="1"/>
  <c r="O78" i="1"/>
  <c r="N79" i="1"/>
  <c r="N80" i="1"/>
  <c r="N81" i="1"/>
  <c r="N82" i="1"/>
  <c r="N83" i="1"/>
  <c r="N84" i="1"/>
  <c r="N78" i="1"/>
  <c r="M79" i="1"/>
  <c r="M80" i="1"/>
  <c r="M81" i="1"/>
  <c r="M82" i="1"/>
  <c r="M83" i="1"/>
  <c r="M84" i="1"/>
  <c r="M78" i="1"/>
  <c r="H87" i="1"/>
  <c r="C87" i="1"/>
  <c r="D87" i="1"/>
  <c r="E87" i="1"/>
  <c r="F87" i="1"/>
  <c r="G87" i="1"/>
  <c r="B87" i="1"/>
</calcChain>
</file>

<file path=xl/sharedStrings.xml><?xml version="1.0" encoding="utf-8"?>
<sst xmlns="http://schemas.openxmlformats.org/spreadsheetml/2006/main" count="13" uniqueCount="13">
  <si>
    <t>Temps [ms]</t>
  </si>
  <si>
    <t>I (V1000) [mA]</t>
  </si>
  <si>
    <t>I (V2000) [mA]</t>
  </si>
  <si>
    <t>I (V3000) [mA]</t>
  </si>
  <si>
    <t>I (V4000) [mA]</t>
  </si>
  <si>
    <t>I (V5000) [mA]</t>
  </si>
  <si>
    <t>I (V6000) [mA]</t>
  </si>
  <si>
    <t>I (V7000) [mA]</t>
  </si>
  <si>
    <t>I [mA]</t>
  </si>
  <si>
    <t>V (tr/min)</t>
  </si>
  <si>
    <t>V (rad/s)</t>
  </si>
  <si>
    <t>I [A]</t>
  </si>
  <si>
    <t>C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</si>
</sst>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 (V1000) [mA]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Sheet1!$A$22:$A$86</c:f>
              <c:numCache>
                <c:formatCode>General</c:formatCode>
                <c:ptCount val="65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</c:numCache>
            </c:numRef>
          </c:xVal>
          <c:yVal>
            <c:numRef>
              <c:f>Sheet1!$B$22:$B$86</c:f>
              <c:numCache>
                <c:formatCode>General</c:formatCode>
                <c:ptCount val="65"/>
                <c:pt idx="0">
                  <c:v>123</c:v>
                </c:pt>
                <c:pt idx="1">
                  <c:v>102</c:v>
                </c:pt>
                <c:pt idx="2">
                  <c:v>105</c:v>
                </c:pt>
                <c:pt idx="3">
                  <c:v>108</c:v>
                </c:pt>
                <c:pt idx="4">
                  <c:v>100</c:v>
                </c:pt>
                <c:pt idx="5">
                  <c:v>99</c:v>
                </c:pt>
                <c:pt idx="6">
                  <c:v>113</c:v>
                </c:pt>
                <c:pt idx="7">
                  <c:v>97</c:v>
                </c:pt>
                <c:pt idx="8">
                  <c:v>102</c:v>
                </c:pt>
                <c:pt idx="9">
                  <c:v>110</c:v>
                </c:pt>
                <c:pt idx="10">
                  <c:v>105</c:v>
                </c:pt>
                <c:pt idx="11">
                  <c:v>109</c:v>
                </c:pt>
                <c:pt idx="12">
                  <c:v>124</c:v>
                </c:pt>
                <c:pt idx="13">
                  <c:v>110</c:v>
                </c:pt>
                <c:pt idx="14">
                  <c:v>116</c:v>
                </c:pt>
                <c:pt idx="15">
                  <c:v>128</c:v>
                </c:pt>
                <c:pt idx="16">
                  <c:v>115</c:v>
                </c:pt>
                <c:pt idx="17">
                  <c:v>127</c:v>
                </c:pt>
                <c:pt idx="18">
                  <c:v>147</c:v>
                </c:pt>
                <c:pt idx="19">
                  <c:v>137</c:v>
                </c:pt>
                <c:pt idx="20">
                  <c:v>133</c:v>
                </c:pt>
                <c:pt idx="21">
                  <c:v>138</c:v>
                </c:pt>
                <c:pt idx="22">
                  <c:v>112</c:v>
                </c:pt>
                <c:pt idx="23">
                  <c:v>123</c:v>
                </c:pt>
                <c:pt idx="24">
                  <c:v>137</c:v>
                </c:pt>
                <c:pt idx="25">
                  <c:v>118</c:v>
                </c:pt>
                <c:pt idx="26">
                  <c:v>116</c:v>
                </c:pt>
                <c:pt idx="27">
                  <c:v>112</c:v>
                </c:pt>
                <c:pt idx="28">
                  <c:v>98</c:v>
                </c:pt>
                <c:pt idx="29">
                  <c:v>107</c:v>
                </c:pt>
                <c:pt idx="30">
                  <c:v>130</c:v>
                </c:pt>
                <c:pt idx="31">
                  <c:v>129</c:v>
                </c:pt>
                <c:pt idx="32">
                  <c:v>133</c:v>
                </c:pt>
                <c:pt idx="33">
                  <c:v>131</c:v>
                </c:pt>
                <c:pt idx="34">
                  <c:v>113</c:v>
                </c:pt>
                <c:pt idx="35">
                  <c:v>125</c:v>
                </c:pt>
                <c:pt idx="36">
                  <c:v>150</c:v>
                </c:pt>
                <c:pt idx="37">
                  <c:v>134</c:v>
                </c:pt>
                <c:pt idx="38">
                  <c:v>144</c:v>
                </c:pt>
                <c:pt idx="39">
                  <c:v>149</c:v>
                </c:pt>
                <c:pt idx="40">
                  <c:v>125</c:v>
                </c:pt>
                <c:pt idx="41">
                  <c:v>133</c:v>
                </c:pt>
                <c:pt idx="42">
                  <c:v>148</c:v>
                </c:pt>
                <c:pt idx="43">
                  <c:v>131</c:v>
                </c:pt>
                <c:pt idx="44">
                  <c:v>152</c:v>
                </c:pt>
                <c:pt idx="45">
                  <c:v>154</c:v>
                </c:pt>
                <c:pt idx="46">
                  <c:v>118</c:v>
                </c:pt>
                <c:pt idx="47">
                  <c:v>113</c:v>
                </c:pt>
                <c:pt idx="48">
                  <c:v>117</c:v>
                </c:pt>
                <c:pt idx="49">
                  <c:v>100</c:v>
                </c:pt>
                <c:pt idx="50">
                  <c:v>108</c:v>
                </c:pt>
                <c:pt idx="51">
                  <c:v>121</c:v>
                </c:pt>
                <c:pt idx="52">
                  <c:v>102</c:v>
                </c:pt>
                <c:pt idx="53">
                  <c:v>107</c:v>
                </c:pt>
                <c:pt idx="54">
                  <c:v>134</c:v>
                </c:pt>
                <c:pt idx="55">
                  <c:v>119</c:v>
                </c:pt>
                <c:pt idx="56">
                  <c:v>121</c:v>
                </c:pt>
                <c:pt idx="57">
                  <c:v>126</c:v>
                </c:pt>
                <c:pt idx="58">
                  <c:v>109</c:v>
                </c:pt>
                <c:pt idx="59">
                  <c:v>116</c:v>
                </c:pt>
                <c:pt idx="60">
                  <c:v>138</c:v>
                </c:pt>
                <c:pt idx="61">
                  <c:v>117</c:v>
                </c:pt>
                <c:pt idx="62">
                  <c:v>131</c:v>
                </c:pt>
                <c:pt idx="63">
                  <c:v>141</c:v>
                </c:pt>
                <c:pt idx="64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54-49B3-BF28-0C4AE27506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 (V2000) [mA]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Sheet1!$A$22:$A$86</c:f>
              <c:numCache>
                <c:formatCode>General</c:formatCode>
                <c:ptCount val="65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</c:numCache>
            </c:numRef>
          </c:xVal>
          <c:yVal>
            <c:numRef>
              <c:f>Sheet1!$C$22:$C$86</c:f>
              <c:numCache>
                <c:formatCode>General</c:formatCode>
                <c:ptCount val="65"/>
                <c:pt idx="0">
                  <c:v>137</c:v>
                </c:pt>
                <c:pt idx="1">
                  <c:v>135</c:v>
                </c:pt>
                <c:pt idx="2">
                  <c:v>137</c:v>
                </c:pt>
                <c:pt idx="3">
                  <c:v>146</c:v>
                </c:pt>
                <c:pt idx="4">
                  <c:v>138</c:v>
                </c:pt>
                <c:pt idx="5">
                  <c:v>150</c:v>
                </c:pt>
                <c:pt idx="6">
                  <c:v>157</c:v>
                </c:pt>
                <c:pt idx="7">
                  <c:v>150</c:v>
                </c:pt>
                <c:pt idx="8">
                  <c:v>141</c:v>
                </c:pt>
                <c:pt idx="9">
                  <c:v>147</c:v>
                </c:pt>
                <c:pt idx="10">
                  <c:v>127</c:v>
                </c:pt>
                <c:pt idx="11">
                  <c:v>132</c:v>
                </c:pt>
                <c:pt idx="12">
                  <c:v>149</c:v>
                </c:pt>
                <c:pt idx="13">
                  <c:v>151</c:v>
                </c:pt>
                <c:pt idx="14">
                  <c:v>153</c:v>
                </c:pt>
                <c:pt idx="15">
                  <c:v>159</c:v>
                </c:pt>
                <c:pt idx="16">
                  <c:v>155</c:v>
                </c:pt>
                <c:pt idx="17">
                  <c:v>158</c:v>
                </c:pt>
                <c:pt idx="18">
                  <c:v>153</c:v>
                </c:pt>
                <c:pt idx="19">
                  <c:v>142</c:v>
                </c:pt>
                <c:pt idx="20">
                  <c:v>132</c:v>
                </c:pt>
                <c:pt idx="21">
                  <c:v>133</c:v>
                </c:pt>
                <c:pt idx="22">
                  <c:v>131</c:v>
                </c:pt>
                <c:pt idx="23">
                  <c:v>132</c:v>
                </c:pt>
                <c:pt idx="24">
                  <c:v>147</c:v>
                </c:pt>
                <c:pt idx="25">
                  <c:v>147</c:v>
                </c:pt>
                <c:pt idx="26">
                  <c:v>156</c:v>
                </c:pt>
                <c:pt idx="27">
                  <c:v>157</c:v>
                </c:pt>
                <c:pt idx="28">
                  <c:v>145</c:v>
                </c:pt>
                <c:pt idx="29">
                  <c:v>154</c:v>
                </c:pt>
                <c:pt idx="30">
                  <c:v>160</c:v>
                </c:pt>
                <c:pt idx="31">
                  <c:v>144</c:v>
                </c:pt>
                <c:pt idx="32">
                  <c:v>139</c:v>
                </c:pt>
                <c:pt idx="33">
                  <c:v>143</c:v>
                </c:pt>
                <c:pt idx="34">
                  <c:v>131</c:v>
                </c:pt>
                <c:pt idx="35">
                  <c:v>123</c:v>
                </c:pt>
                <c:pt idx="36">
                  <c:v>135</c:v>
                </c:pt>
                <c:pt idx="37">
                  <c:v>136</c:v>
                </c:pt>
                <c:pt idx="38">
                  <c:v>144</c:v>
                </c:pt>
                <c:pt idx="39">
                  <c:v>157</c:v>
                </c:pt>
                <c:pt idx="40">
                  <c:v>154</c:v>
                </c:pt>
                <c:pt idx="41">
                  <c:v>159</c:v>
                </c:pt>
                <c:pt idx="42">
                  <c:v>155</c:v>
                </c:pt>
                <c:pt idx="43">
                  <c:v>144</c:v>
                </c:pt>
                <c:pt idx="44">
                  <c:v>138</c:v>
                </c:pt>
                <c:pt idx="45">
                  <c:v>143</c:v>
                </c:pt>
                <c:pt idx="46">
                  <c:v>136</c:v>
                </c:pt>
                <c:pt idx="47">
                  <c:v>132</c:v>
                </c:pt>
                <c:pt idx="48">
                  <c:v>143</c:v>
                </c:pt>
                <c:pt idx="49">
                  <c:v>142</c:v>
                </c:pt>
                <c:pt idx="50">
                  <c:v>153</c:v>
                </c:pt>
                <c:pt idx="51">
                  <c:v>158</c:v>
                </c:pt>
                <c:pt idx="52">
                  <c:v>160</c:v>
                </c:pt>
                <c:pt idx="53">
                  <c:v>168</c:v>
                </c:pt>
                <c:pt idx="54">
                  <c:v>162</c:v>
                </c:pt>
                <c:pt idx="55">
                  <c:v>154</c:v>
                </c:pt>
                <c:pt idx="56">
                  <c:v>151</c:v>
                </c:pt>
                <c:pt idx="57">
                  <c:v>143</c:v>
                </c:pt>
                <c:pt idx="58">
                  <c:v>142</c:v>
                </c:pt>
                <c:pt idx="59">
                  <c:v>152</c:v>
                </c:pt>
                <c:pt idx="60">
                  <c:v>165</c:v>
                </c:pt>
                <c:pt idx="61">
                  <c:v>170</c:v>
                </c:pt>
                <c:pt idx="62">
                  <c:v>164</c:v>
                </c:pt>
                <c:pt idx="63">
                  <c:v>158</c:v>
                </c:pt>
                <c:pt idx="64">
                  <c:v>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54-49B3-BF28-0C4AE275066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 (V3000) [mA]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Sheet1!$A$22:$A$86</c:f>
              <c:numCache>
                <c:formatCode>General</c:formatCode>
                <c:ptCount val="65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</c:numCache>
            </c:numRef>
          </c:xVal>
          <c:yVal>
            <c:numRef>
              <c:f>Sheet1!$D$22:$D$86</c:f>
              <c:numCache>
                <c:formatCode>General</c:formatCode>
                <c:ptCount val="65"/>
                <c:pt idx="0">
                  <c:v>151</c:v>
                </c:pt>
                <c:pt idx="1">
                  <c:v>147</c:v>
                </c:pt>
                <c:pt idx="2">
                  <c:v>119</c:v>
                </c:pt>
                <c:pt idx="3">
                  <c:v>123</c:v>
                </c:pt>
                <c:pt idx="4">
                  <c:v>126</c:v>
                </c:pt>
                <c:pt idx="5">
                  <c:v>133</c:v>
                </c:pt>
                <c:pt idx="6">
                  <c:v>140</c:v>
                </c:pt>
                <c:pt idx="7">
                  <c:v>138</c:v>
                </c:pt>
                <c:pt idx="8">
                  <c:v>126</c:v>
                </c:pt>
                <c:pt idx="9">
                  <c:v>117</c:v>
                </c:pt>
                <c:pt idx="10">
                  <c:v>121</c:v>
                </c:pt>
                <c:pt idx="11">
                  <c:v>125</c:v>
                </c:pt>
                <c:pt idx="12">
                  <c:v>129</c:v>
                </c:pt>
                <c:pt idx="13">
                  <c:v>133</c:v>
                </c:pt>
                <c:pt idx="14">
                  <c:v>139</c:v>
                </c:pt>
                <c:pt idx="15">
                  <c:v>134</c:v>
                </c:pt>
                <c:pt idx="16">
                  <c:v>134</c:v>
                </c:pt>
                <c:pt idx="17">
                  <c:v>127</c:v>
                </c:pt>
                <c:pt idx="18">
                  <c:v>130</c:v>
                </c:pt>
                <c:pt idx="19">
                  <c:v>140</c:v>
                </c:pt>
                <c:pt idx="20">
                  <c:v>143</c:v>
                </c:pt>
                <c:pt idx="21">
                  <c:v>145</c:v>
                </c:pt>
                <c:pt idx="22">
                  <c:v>134</c:v>
                </c:pt>
                <c:pt idx="23">
                  <c:v>123</c:v>
                </c:pt>
                <c:pt idx="24">
                  <c:v>120</c:v>
                </c:pt>
                <c:pt idx="25">
                  <c:v>132</c:v>
                </c:pt>
                <c:pt idx="26">
                  <c:v>135</c:v>
                </c:pt>
                <c:pt idx="27">
                  <c:v>141</c:v>
                </c:pt>
                <c:pt idx="28">
                  <c:v>153</c:v>
                </c:pt>
                <c:pt idx="29">
                  <c:v>169</c:v>
                </c:pt>
                <c:pt idx="30">
                  <c:v>164</c:v>
                </c:pt>
                <c:pt idx="31">
                  <c:v>141</c:v>
                </c:pt>
                <c:pt idx="32">
                  <c:v>123</c:v>
                </c:pt>
                <c:pt idx="33">
                  <c:v>114</c:v>
                </c:pt>
                <c:pt idx="34">
                  <c:v>118</c:v>
                </c:pt>
                <c:pt idx="35">
                  <c:v>127</c:v>
                </c:pt>
                <c:pt idx="36">
                  <c:v>136</c:v>
                </c:pt>
                <c:pt idx="37">
                  <c:v>134</c:v>
                </c:pt>
                <c:pt idx="38">
                  <c:v>135</c:v>
                </c:pt>
                <c:pt idx="39">
                  <c:v>130</c:v>
                </c:pt>
                <c:pt idx="40">
                  <c:v>127</c:v>
                </c:pt>
                <c:pt idx="41">
                  <c:v>122</c:v>
                </c:pt>
                <c:pt idx="42">
                  <c:v>124</c:v>
                </c:pt>
                <c:pt idx="43">
                  <c:v>127</c:v>
                </c:pt>
                <c:pt idx="44">
                  <c:v>133</c:v>
                </c:pt>
                <c:pt idx="45">
                  <c:v>142</c:v>
                </c:pt>
                <c:pt idx="46">
                  <c:v>136</c:v>
                </c:pt>
                <c:pt idx="47">
                  <c:v>139</c:v>
                </c:pt>
                <c:pt idx="48">
                  <c:v>130</c:v>
                </c:pt>
                <c:pt idx="49">
                  <c:v>135</c:v>
                </c:pt>
                <c:pt idx="50">
                  <c:v>148</c:v>
                </c:pt>
                <c:pt idx="51">
                  <c:v>161</c:v>
                </c:pt>
                <c:pt idx="52">
                  <c:v>159</c:v>
                </c:pt>
                <c:pt idx="53">
                  <c:v>159</c:v>
                </c:pt>
                <c:pt idx="54">
                  <c:v>137</c:v>
                </c:pt>
                <c:pt idx="55">
                  <c:v>129</c:v>
                </c:pt>
                <c:pt idx="56">
                  <c:v>127</c:v>
                </c:pt>
                <c:pt idx="57">
                  <c:v>141</c:v>
                </c:pt>
                <c:pt idx="58">
                  <c:v>140</c:v>
                </c:pt>
                <c:pt idx="59">
                  <c:v>146</c:v>
                </c:pt>
                <c:pt idx="60">
                  <c:v>154</c:v>
                </c:pt>
                <c:pt idx="61">
                  <c:v>162</c:v>
                </c:pt>
                <c:pt idx="62">
                  <c:v>145</c:v>
                </c:pt>
                <c:pt idx="63">
                  <c:v>129</c:v>
                </c:pt>
                <c:pt idx="64">
                  <c:v>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54-49B3-BF28-0C4AE275066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I (V4000) [mA]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Sheet1!$A$22:$A$86</c:f>
              <c:numCache>
                <c:formatCode>General</c:formatCode>
                <c:ptCount val="65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</c:numCache>
            </c:numRef>
          </c:xVal>
          <c:yVal>
            <c:numRef>
              <c:f>Sheet1!$E$22:$E$86</c:f>
              <c:numCache>
                <c:formatCode>General</c:formatCode>
                <c:ptCount val="65"/>
                <c:pt idx="0">
                  <c:v>145</c:v>
                </c:pt>
                <c:pt idx="1">
                  <c:v>159</c:v>
                </c:pt>
                <c:pt idx="2">
                  <c:v>173</c:v>
                </c:pt>
                <c:pt idx="3">
                  <c:v>168</c:v>
                </c:pt>
                <c:pt idx="4">
                  <c:v>180</c:v>
                </c:pt>
                <c:pt idx="5">
                  <c:v>168</c:v>
                </c:pt>
                <c:pt idx="6">
                  <c:v>147</c:v>
                </c:pt>
                <c:pt idx="7">
                  <c:v>130</c:v>
                </c:pt>
                <c:pt idx="8">
                  <c:v>141</c:v>
                </c:pt>
                <c:pt idx="9">
                  <c:v>151</c:v>
                </c:pt>
                <c:pt idx="10">
                  <c:v>160</c:v>
                </c:pt>
                <c:pt idx="11">
                  <c:v>147</c:v>
                </c:pt>
                <c:pt idx="12">
                  <c:v>136</c:v>
                </c:pt>
                <c:pt idx="13">
                  <c:v>138</c:v>
                </c:pt>
                <c:pt idx="14">
                  <c:v>150</c:v>
                </c:pt>
                <c:pt idx="15">
                  <c:v>159</c:v>
                </c:pt>
                <c:pt idx="16">
                  <c:v>165</c:v>
                </c:pt>
                <c:pt idx="17">
                  <c:v>166</c:v>
                </c:pt>
                <c:pt idx="18">
                  <c:v>158</c:v>
                </c:pt>
                <c:pt idx="19">
                  <c:v>171</c:v>
                </c:pt>
                <c:pt idx="20">
                  <c:v>171</c:v>
                </c:pt>
                <c:pt idx="21">
                  <c:v>161</c:v>
                </c:pt>
                <c:pt idx="22">
                  <c:v>153</c:v>
                </c:pt>
                <c:pt idx="23">
                  <c:v>147</c:v>
                </c:pt>
                <c:pt idx="24">
                  <c:v>143</c:v>
                </c:pt>
                <c:pt idx="25">
                  <c:v>163</c:v>
                </c:pt>
                <c:pt idx="26">
                  <c:v>173</c:v>
                </c:pt>
                <c:pt idx="27">
                  <c:v>172</c:v>
                </c:pt>
                <c:pt idx="28">
                  <c:v>160</c:v>
                </c:pt>
                <c:pt idx="29">
                  <c:v>144</c:v>
                </c:pt>
                <c:pt idx="30">
                  <c:v>117</c:v>
                </c:pt>
                <c:pt idx="31">
                  <c:v>128</c:v>
                </c:pt>
                <c:pt idx="32">
                  <c:v>145</c:v>
                </c:pt>
                <c:pt idx="33">
                  <c:v>147</c:v>
                </c:pt>
                <c:pt idx="34">
                  <c:v>155</c:v>
                </c:pt>
                <c:pt idx="35">
                  <c:v>137</c:v>
                </c:pt>
                <c:pt idx="36">
                  <c:v>128</c:v>
                </c:pt>
                <c:pt idx="37">
                  <c:v>145</c:v>
                </c:pt>
                <c:pt idx="38">
                  <c:v>154</c:v>
                </c:pt>
                <c:pt idx="39">
                  <c:v>159</c:v>
                </c:pt>
                <c:pt idx="40">
                  <c:v>172</c:v>
                </c:pt>
                <c:pt idx="41">
                  <c:v>165</c:v>
                </c:pt>
                <c:pt idx="42">
                  <c:v>164</c:v>
                </c:pt>
                <c:pt idx="43">
                  <c:v>180</c:v>
                </c:pt>
                <c:pt idx="44">
                  <c:v>171</c:v>
                </c:pt>
                <c:pt idx="45">
                  <c:v>156</c:v>
                </c:pt>
                <c:pt idx="46">
                  <c:v>152</c:v>
                </c:pt>
                <c:pt idx="47">
                  <c:v>151</c:v>
                </c:pt>
                <c:pt idx="48">
                  <c:v>152</c:v>
                </c:pt>
                <c:pt idx="49">
                  <c:v>171</c:v>
                </c:pt>
                <c:pt idx="50">
                  <c:v>181</c:v>
                </c:pt>
                <c:pt idx="51">
                  <c:v>174</c:v>
                </c:pt>
                <c:pt idx="52">
                  <c:v>167</c:v>
                </c:pt>
                <c:pt idx="53">
                  <c:v>136</c:v>
                </c:pt>
                <c:pt idx="54">
                  <c:v>127</c:v>
                </c:pt>
                <c:pt idx="55">
                  <c:v>141</c:v>
                </c:pt>
                <c:pt idx="56">
                  <c:v>142</c:v>
                </c:pt>
                <c:pt idx="57">
                  <c:v>137</c:v>
                </c:pt>
                <c:pt idx="58">
                  <c:v>139</c:v>
                </c:pt>
                <c:pt idx="59">
                  <c:v>139</c:v>
                </c:pt>
                <c:pt idx="60">
                  <c:v>138</c:v>
                </c:pt>
                <c:pt idx="61">
                  <c:v>154</c:v>
                </c:pt>
                <c:pt idx="62">
                  <c:v>162</c:v>
                </c:pt>
                <c:pt idx="63">
                  <c:v>157</c:v>
                </c:pt>
                <c:pt idx="64">
                  <c:v>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54-49B3-BF28-0C4AE275066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I (V5000) [mA]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Sheet1!$A$22:$A$86</c:f>
              <c:numCache>
                <c:formatCode>General</c:formatCode>
                <c:ptCount val="65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</c:numCache>
            </c:numRef>
          </c:xVal>
          <c:yVal>
            <c:numRef>
              <c:f>Sheet1!$F$22:$F$86</c:f>
              <c:numCache>
                <c:formatCode>General</c:formatCode>
                <c:ptCount val="65"/>
                <c:pt idx="0">
                  <c:v>153</c:v>
                </c:pt>
                <c:pt idx="1">
                  <c:v>151</c:v>
                </c:pt>
                <c:pt idx="2">
                  <c:v>172</c:v>
                </c:pt>
                <c:pt idx="3">
                  <c:v>177</c:v>
                </c:pt>
                <c:pt idx="4">
                  <c:v>191</c:v>
                </c:pt>
                <c:pt idx="5">
                  <c:v>175</c:v>
                </c:pt>
                <c:pt idx="6">
                  <c:v>139</c:v>
                </c:pt>
                <c:pt idx="7">
                  <c:v>137</c:v>
                </c:pt>
                <c:pt idx="8">
                  <c:v>148</c:v>
                </c:pt>
                <c:pt idx="9">
                  <c:v>153</c:v>
                </c:pt>
                <c:pt idx="10">
                  <c:v>154</c:v>
                </c:pt>
                <c:pt idx="11">
                  <c:v>151</c:v>
                </c:pt>
                <c:pt idx="12">
                  <c:v>152</c:v>
                </c:pt>
                <c:pt idx="13">
                  <c:v>174</c:v>
                </c:pt>
                <c:pt idx="14">
                  <c:v>170</c:v>
                </c:pt>
                <c:pt idx="15">
                  <c:v>155</c:v>
                </c:pt>
                <c:pt idx="16">
                  <c:v>166</c:v>
                </c:pt>
                <c:pt idx="17">
                  <c:v>177</c:v>
                </c:pt>
                <c:pt idx="18">
                  <c:v>159</c:v>
                </c:pt>
                <c:pt idx="19">
                  <c:v>149</c:v>
                </c:pt>
                <c:pt idx="20">
                  <c:v>152</c:v>
                </c:pt>
                <c:pt idx="21">
                  <c:v>164</c:v>
                </c:pt>
                <c:pt idx="22">
                  <c:v>186</c:v>
                </c:pt>
                <c:pt idx="23">
                  <c:v>180</c:v>
                </c:pt>
                <c:pt idx="24">
                  <c:v>150</c:v>
                </c:pt>
                <c:pt idx="25">
                  <c:v>131</c:v>
                </c:pt>
                <c:pt idx="26">
                  <c:v>139</c:v>
                </c:pt>
                <c:pt idx="27">
                  <c:v>152</c:v>
                </c:pt>
                <c:pt idx="28">
                  <c:v>168</c:v>
                </c:pt>
                <c:pt idx="29">
                  <c:v>158</c:v>
                </c:pt>
                <c:pt idx="30">
                  <c:v>140</c:v>
                </c:pt>
                <c:pt idx="31">
                  <c:v>154</c:v>
                </c:pt>
                <c:pt idx="32">
                  <c:v>164</c:v>
                </c:pt>
                <c:pt idx="33">
                  <c:v>164</c:v>
                </c:pt>
                <c:pt idx="34">
                  <c:v>169</c:v>
                </c:pt>
                <c:pt idx="35">
                  <c:v>177</c:v>
                </c:pt>
                <c:pt idx="36">
                  <c:v>177</c:v>
                </c:pt>
                <c:pt idx="37">
                  <c:v>169</c:v>
                </c:pt>
                <c:pt idx="38">
                  <c:v>145</c:v>
                </c:pt>
                <c:pt idx="39">
                  <c:v>154</c:v>
                </c:pt>
                <c:pt idx="40">
                  <c:v>173</c:v>
                </c:pt>
                <c:pt idx="41">
                  <c:v>177</c:v>
                </c:pt>
                <c:pt idx="42">
                  <c:v>152</c:v>
                </c:pt>
                <c:pt idx="43">
                  <c:v>146</c:v>
                </c:pt>
                <c:pt idx="44">
                  <c:v>123</c:v>
                </c:pt>
                <c:pt idx="45">
                  <c:v>134</c:v>
                </c:pt>
                <c:pt idx="46">
                  <c:v>147</c:v>
                </c:pt>
                <c:pt idx="47">
                  <c:v>156</c:v>
                </c:pt>
                <c:pt idx="48">
                  <c:v>139</c:v>
                </c:pt>
                <c:pt idx="49">
                  <c:v>142</c:v>
                </c:pt>
                <c:pt idx="50">
                  <c:v>153</c:v>
                </c:pt>
                <c:pt idx="51">
                  <c:v>164</c:v>
                </c:pt>
                <c:pt idx="52">
                  <c:v>158</c:v>
                </c:pt>
                <c:pt idx="53">
                  <c:v>170</c:v>
                </c:pt>
                <c:pt idx="54">
                  <c:v>175</c:v>
                </c:pt>
                <c:pt idx="55">
                  <c:v>173</c:v>
                </c:pt>
                <c:pt idx="56">
                  <c:v>154</c:v>
                </c:pt>
                <c:pt idx="57">
                  <c:v>152</c:v>
                </c:pt>
                <c:pt idx="58">
                  <c:v>167</c:v>
                </c:pt>
                <c:pt idx="59">
                  <c:v>178</c:v>
                </c:pt>
                <c:pt idx="60">
                  <c:v>177</c:v>
                </c:pt>
                <c:pt idx="61">
                  <c:v>161</c:v>
                </c:pt>
                <c:pt idx="62">
                  <c:v>130</c:v>
                </c:pt>
                <c:pt idx="63">
                  <c:v>131</c:v>
                </c:pt>
                <c:pt idx="64">
                  <c:v>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54-49B3-BF28-0C4AE2750664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I (V6000) [mA]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Sheet1!$A$22:$A$86</c:f>
              <c:numCache>
                <c:formatCode>General</c:formatCode>
                <c:ptCount val="65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</c:numCache>
            </c:numRef>
          </c:xVal>
          <c:yVal>
            <c:numRef>
              <c:f>Sheet1!$G$22:$G$86</c:f>
              <c:numCache>
                <c:formatCode>General</c:formatCode>
                <c:ptCount val="65"/>
                <c:pt idx="0">
                  <c:v>193</c:v>
                </c:pt>
                <c:pt idx="1">
                  <c:v>214</c:v>
                </c:pt>
                <c:pt idx="2">
                  <c:v>190</c:v>
                </c:pt>
                <c:pt idx="3">
                  <c:v>164</c:v>
                </c:pt>
                <c:pt idx="4">
                  <c:v>157</c:v>
                </c:pt>
                <c:pt idx="5">
                  <c:v>175</c:v>
                </c:pt>
                <c:pt idx="6">
                  <c:v>183</c:v>
                </c:pt>
                <c:pt idx="7">
                  <c:v>171</c:v>
                </c:pt>
                <c:pt idx="8">
                  <c:v>176</c:v>
                </c:pt>
                <c:pt idx="9">
                  <c:v>190</c:v>
                </c:pt>
                <c:pt idx="10">
                  <c:v>176</c:v>
                </c:pt>
                <c:pt idx="11">
                  <c:v>177</c:v>
                </c:pt>
                <c:pt idx="12">
                  <c:v>182</c:v>
                </c:pt>
                <c:pt idx="13">
                  <c:v>183</c:v>
                </c:pt>
                <c:pt idx="14">
                  <c:v>181</c:v>
                </c:pt>
                <c:pt idx="15">
                  <c:v>181</c:v>
                </c:pt>
                <c:pt idx="16">
                  <c:v>198</c:v>
                </c:pt>
                <c:pt idx="17">
                  <c:v>211</c:v>
                </c:pt>
                <c:pt idx="18">
                  <c:v>191</c:v>
                </c:pt>
                <c:pt idx="19">
                  <c:v>151</c:v>
                </c:pt>
                <c:pt idx="20">
                  <c:v>158</c:v>
                </c:pt>
                <c:pt idx="21">
                  <c:v>168</c:v>
                </c:pt>
                <c:pt idx="22">
                  <c:v>163</c:v>
                </c:pt>
                <c:pt idx="23">
                  <c:v>172</c:v>
                </c:pt>
                <c:pt idx="24">
                  <c:v>189</c:v>
                </c:pt>
                <c:pt idx="25">
                  <c:v>199</c:v>
                </c:pt>
                <c:pt idx="26">
                  <c:v>175</c:v>
                </c:pt>
                <c:pt idx="27">
                  <c:v>192</c:v>
                </c:pt>
                <c:pt idx="28">
                  <c:v>193</c:v>
                </c:pt>
                <c:pt idx="29">
                  <c:v>188</c:v>
                </c:pt>
                <c:pt idx="30">
                  <c:v>180</c:v>
                </c:pt>
                <c:pt idx="31">
                  <c:v>190</c:v>
                </c:pt>
                <c:pt idx="32">
                  <c:v>208</c:v>
                </c:pt>
                <c:pt idx="33">
                  <c:v>190</c:v>
                </c:pt>
                <c:pt idx="34">
                  <c:v>158</c:v>
                </c:pt>
                <c:pt idx="35">
                  <c:v>149</c:v>
                </c:pt>
                <c:pt idx="36">
                  <c:v>161</c:v>
                </c:pt>
                <c:pt idx="37">
                  <c:v>163</c:v>
                </c:pt>
                <c:pt idx="38">
                  <c:v>163</c:v>
                </c:pt>
                <c:pt idx="39">
                  <c:v>176</c:v>
                </c:pt>
                <c:pt idx="40">
                  <c:v>187</c:v>
                </c:pt>
                <c:pt idx="41">
                  <c:v>184</c:v>
                </c:pt>
                <c:pt idx="42">
                  <c:v>179</c:v>
                </c:pt>
                <c:pt idx="43">
                  <c:v>192</c:v>
                </c:pt>
                <c:pt idx="44">
                  <c:v>184</c:v>
                </c:pt>
                <c:pt idx="45">
                  <c:v>183</c:v>
                </c:pt>
                <c:pt idx="46">
                  <c:v>189</c:v>
                </c:pt>
                <c:pt idx="47">
                  <c:v>209</c:v>
                </c:pt>
                <c:pt idx="48">
                  <c:v>227</c:v>
                </c:pt>
                <c:pt idx="49">
                  <c:v>200</c:v>
                </c:pt>
                <c:pt idx="50">
                  <c:v>161</c:v>
                </c:pt>
                <c:pt idx="51">
                  <c:v>156</c:v>
                </c:pt>
                <c:pt idx="52">
                  <c:v>166</c:v>
                </c:pt>
                <c:pt idx="53">
                  <c:v>169</c:v>
                </c:pt>
                <c:pt idx="54">
                  <c:v>166</c:v>
                </c:pt>
                <c:pt idx="55">
                  <c:v>184</c:v>
                </c:pt>
                <c:pt idx="56">
                  <c:v>185</c:v>
                </c:pt>
                <c:pt idx="57">
                  <c:v>166</c:v>
                </c:pt>
                <c:pt idx="58">
                  <c:v>178</c:v>
                </c:pt>
                <c:pt idx="59">
                  <c:v>191</c:v>
                </c:pt>
                <c:pt idx="60">
                  <c:v>180</c:v>
                </c:pt>
                <c:pt idx="61">
                  <c:v>174</c:v>
                </c:pt>
                <c:pt idx="62">
                  <c:v>171</c:v>
                </c:pt>
                <c:pt idx="63">
                  <c:v>196</c:v>
                </c:pt>
                <c:pt idx="64">
                  <c:v>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54-49B3-BF28-0C4AE2750664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I (V7000) [mA]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Sheet1!$A$22:$A$86</c:f>
              <c:numCache>
                <c:formatCode>General</c:formatCode>
                <c:ptCount val="65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</c:numCache>
            </c:numRef>
          </c:xVal>
          <c:yVal>
            <c:numRef>
              <c:f>Sheet1!$H$22:$H$86</c:f>
              <c:numCache>
                <c:formatCode>General</c:formatCode>
                <c:ptCount val="65"/>
                <c:pt idx="0">
                  <c:v>153</c:v>
                </c:pt>
                <c:pt idx="1">
                  <c:v>165</c:v>
                </c:pt>
                <c:pt idx="2">
                  <c:v>174</c:v>
                </c:pt>
                <c:pt idx="3">
                  <c:v>173</c:v>
                </c:pt>
                <c:pt idx="4">
                  <c:v>182</c:v>
                </c:pt>
                <c:pt idx="5">
                  <c:v>184</c:v>
                </c:pt>
                <c:pt idx="6">
                  <c:v>201</c:v>
                </c:pt>
                <c:pt idx="7">
                  <c:v>197</c:v>
                </c:pt>
                <c:pt idx="8">
                  <c:v>192</c:v>
                </c:pt>
                <c:pt idx="9">
                  <c:v>197</c:v>
                </c:pt>
                <c:pt idx="10">
                  <c:v>211</c:v>
                </c:pt>
                <c:pt idx="11">
                  <c:v>207</c:v>
                </c:pt>
                <c:pt idx="12">
                  <c:v>164</c:v>
                </c:pt>
                <c:pt idx="13">
                  <c:v>162</c:v>
                </c:pt>
                <c:pt idx="14">
                  <c:v>160</c:v>
                </c:pt>
                <c:pt idx="15">
                  <c:v>165</c:v>
                </c:pt>
                <c:pt idx="16">
                  <c:v>169</c:v>
                </c:pt>
                <c:pt idx="17">
                  <c:v>192</c:v>
                </c:pt>
                <c:pt idx="18">
                  <c:v>186</c:v>
                </c:pt>
                <c:pt idx="19">
                  <c:v>180</c:v>
                </c:pt>
                <c:pt idx="20">
                  <c:v>184</c:v>
                </c:pt>
                <c:pt idx="21">
                  <c:v>183</c:v>
                </c:pt>
                <c:pt idx="22">
                  <c:v>181</c:v>
                </c:pt>
                <c:pt idx="23">
                  <c:v>202</c:v>
                </c:pt>
                <c:pt idx="24">
                  <c:v>219</c:v>
                </c:pt>
                <c:pt idx="25">
                  <c:v>189</c:v>
                </c:pt>
                <c:pt idx="26">
                  <c:v>161</c:v>
                </c:pt>
                <c:pt idx="27">
                  <c:v>162</c:v>
                </c:pt>
                <c:pt idx="28">
                  <c:v>170</c:v>
                </c:pt>
                <c:pt idx="29">
                  <c:v>175</c:v>
                </c:pt>
                <c:pt idx="30">
                  <c:v>170</c:v>
                </c:pt>
                <c:pt idx="31">
                  <c:v>194</c:v>
                </c:pt>
                <c:pt idx="32">
                  <c:v>176</c:v>
                </c:pt>
                <c:pt idx="33">
                  <c:v>193</c:v>
                </c:pt>
                <c:pt idx="34">
                  <c:v>191</c:v>
                </c:pt>
                <c:pt idx="35">
                  <c:v>187</c:v>
                </c:pt>
                <c:pt idx="36">
                  <c:v>191</c:v>
                </c:pt>
                <c:pt idx="37">
                  <c:v>215</c:v>
                </c:pt>
                <c:pt idx="38">
                  <c:v>197</c:v>
                </c:pt>
                <c:pt idx="39">
                  <c:v>155</c:v>
                </c:pt>
                <c:pt idx="40">
                  <c:v>151</c:v>
                </c:pt>
                <c:pt idx="41">
                  <c:v>161</c:v>
                </c:pt>
                <c:pt idx="42">
                  <c:v>166</c:v>
                </c:pt>
                <c:pt idx="43">
                  <c:v>163</c:v>
                </c:pt>
                <c:pt idx="44">
                  <c:v>193</c:v>
                </c:pt>
                <c:pt idx="45">
                  <c:v>186</c:v>
                </c:pt>
                <c:pt idx="46">
                  <c:v>182</c:v>
                </c:pt>
                <c:pt idx="47">
                  <c:v>189</c:v>
                </c:pt>
                <c:pt idx="48">
                  <c:v>181</c:v>
                </c:pt>
                <c:pt idx="49">
                  <c:v>199</c:v>
                </c:pt>
                <c:pt idx="50">
                  <c:v>221</c:v>
                </c:pt>
                <c:pt idx="51">
                  <c:v>208</c:v>
                </c:pt>
                <c:pt idx="52">
                  <c:v>162</c:v>
                </c:pt>
                <c:pt idx="53">
                  <c:v>159</c:v>
                </c:pt>
                <c:pt idx="54">
                  <c:v>164</c:v>
                </c:pt>
                <c:pt idx="55">
                  <c:v>171</c:v>
                </c:pt>
                <c:pt idx="56">
                  <c:v>174</c:v>
                </c:pt>
                <c:pt idx="57">
                  <c:v>188</c:v>
                </c:pt>
                <c:pt idx="58">
                  <c:v>179</c:v>
                </c:pt>
                <c:pt idx="59">
                  <c:v>176</c:v>
                </c:pt>
                <c:pt idx="60">
                  <c:v>175</c:v>
                </c:pt>
                <c:pt idx="61">
                  <c:v>179</c:v>
                </c:pt>
                <c:pt idx="62">
                  <c:v>183</c:v>
                </c:pt>
                <c:pt idx="63">
                  <c:v>195</c:v>
                </c:pt>
                <c:pt idx="64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54-49B3-BF28-0C4AE2750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918159"/>
        <c:axId val="1784918639"/>
      </c:scatterChart>
      <c:valAx>
        <c:axId val="178491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4918639"/>
        <c:crosses val="autoZero"/>
        <c:crossBetween val="midCat"/>
      </c:valAx>
      <c:valAx>
        <c:axId val="17849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491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Sheet1!$N$77</c:f>
              <c:strCache>
                <c:ptCount val="1"/>
                <c:pt idx="0">
                  <c:v>I [A]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151771653543311"/>
                  <c:y val="-1.08027121609798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Sheet1!$M$78:$M$84</c:f>
              <c:numCache>
                <c:formatCode>General</c:formatCode>
                <c:ptCount val="7"/>
                <c:pt idx="0">
                  <c:v>104.71975511965977</c:v>
                </c:pt>
                <c:pt idx="1">
                  <c:v>209.43951023931953</c:v>
                </c:pt>
                <c:pt idx="2">
                  <c:v>314.15926535897933</c:v>
                </c:pt>
                <c:pt idx="3">
                  <c:v>418.87902047863906</c:v>
                </c:pt>
                <c:pt idx="4">
                  <c:v>523.59877559829886</c:v>
                </c:pt>
                <c:pt idx="5">
                  <c:v>628.31853071795865</c:v>
                </c:pt>
                <c:pt idx="6">
                  <c:v>733.03828583761833</c:v>
                </c:pt>
              </c:numCache>
            </c:numRef>
          </c:xVal>
          <c:yVal>
            <c:numRef>
              <c:f>Sheet1!$N$78:$N$84</c:f>
              <c:numCache>
                <c:formatCode>General</c:formatCode>
                <c:ptCount val="7"/>
                <c:pt idx="0">
                  <c:v>0.12175384615384616</c:v>
                </c:pt>
                <c:pt idx="1">
                  <c:v>0.14712307692307691</c:v>
                </c:pt>
                <c:pt idx="2">
                  <c:v>0.1356</c:v>
                </c:pt>
                <c:pt idx="3">
                  <c:v>0.15378461538461538</c:v>
                </c:pt>
                <c:pt idx="4">
                  <c:v>0.15807692307692306</c:v>
                </c:pt>
                <c:pt idx="5">
                  <c:v>0.18069230769230768</c:v>
                </c:pt>
                <c:pt idx="6">
                  <c:v>0.18175384615384615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E-4AD3-84AB-C0EF2410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408863"/>
        <c:axId val="2050431423"/>
      </c:scatterChart>
      <c:valAx>
        <c:axId val="205040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431423"/>
        <c:crosses val="autoZero"/>
        <c:crossBetween val="midCat"/>
      </c:valAx>
      <c:valAx>
        <c:axId val="20504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40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Sheet1!$O$77</c:f>
              <c:strCache>
                <c:ptCount val="1"/>
                <c:pt idx="0">
                  <c:v>C [Nm]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Sheet1!$M$78:$M$84</c:f>
              <c:numCache>
                <c:formatCode>General</c:formatCode>
                <c:ptCount val="7"/>
                <c:pt idx="0">
                  <c:v>104.71975511965977</c:v>
                </c:pt>
                <c:pt idx="1">
                  <c:v>209.43951023931953</c:v>
                </c:pt>
                <c:pt idx="2">
                  <c:v>314.15926535897933</c:v>
                </c:pt>
                <c:pt idx="3">
                  <c:v>418.87902047863906</c:v>
                </c:pt>
                <c:pt idx="4">
                  <c:v>523.59877559829886</c:v>
                </c:pt>
                <c:pt idx="5">
                  <c:v>628.31853071795865</c:v>
                </c:pt>
                <c:pt idx="6">
                  <c:v>733.03828583761833</c:v>
                </c:pt>
              </c:numCache>
            </c:numRef>
          </c:xVal>
          <c:yVal>
            <c:numRef>
              <c:f>Sheet1!$O$78:$O$84</c:f>
              <c:numCache>
                <c:formatCode>General</c:formatCode>
                <c:ptCount val="7"/>
                <c:pt idx="0">
                  <c:v>3.1168984615384614E-3</c:v>
                </c:pt>
                <c:pt idx="1">
                  <c:v>3.7663507692307688E-3</c:v>
                </c:pt>
                <c:pt idx="2">
                  <c:v>3.4713600000000002E-3</c:v>
                </c:pt>
                <c:pt idx="3">
                  <c:v>3.9368861538461543E-3</c:v>
                </c:pt>
                <c:pt idx="4">
                  <c:v>4.0467692307692305E-3</c:v>
                </c:pt>
                <c:pt idx="5">
                  <c:v>4.6257230769230764E-3</c:v>
                </c:pt>
                <c:pt idx="6">
                  <c:v>4.6528984615384619E-3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05-4E98-8A31-937E8EC56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471263"/>
        <c:axId val="2050470303"/>
      </c:scatterChart>
      <c:valAx>
        <c:axId val="205047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470303"/>
        <c:crosses val="autoZero"/>
        <c:crossBetween val="midCat"/>
      </c:valAx>
      <c:valAx>
        <c:axId val="20504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47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82550</xdr:rowOff>
    </xdr:from>
    <xdr:to>
      <xdr:col>13</xdr:col>
      <xdr:colOff>231775</xdr:colOff>
      <xdr:row>16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4B88B7-1AB3-A732-90C3-C5936F2D1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257175</xdr:colOff>
      <xdr:row>71</xdr:row>
      <xdr:rowOff>76200</xdr:rowOff>
    </xdr:from>
    <xdr:to>
      <xdr:col>8</xdr:col>
      <xdr:colOff>561975</xdr:colOff>
      <xdr:row>86</xdr:row>
      <xdr:rowOff>57150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57C1C1F-401C-7FCB-DE35-7E0AAC587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536575</xdr:colOff>
      <xdr:row>71</xdr:row>
      <xdr:rowOff>82550</xdr:rowOff>
    </xdr:from>
    <xdr:to>
      <xdr:col>13</xdr:col>
      <xdr:colOff>219075</xdr:colOff>
      <xdr:row>86</xdr:row>
      <xdr:rowOff>63500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D442277-BE09-EF5A-0237-4A1BA6562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D72" zoomScale="147" workbookViewId="0">
      <selection activeCell="M72" sqref="M72"/>
    </sheetView>
  </sheetViews>
  <sheetFormatPr baseColWidth="10" defaultColWidth="8.7265625" defaultRowHeight="14.5" x14ac:dyDescent="0.35"/>
  <cols>
    <col min="13" max="13" width="8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>
        <v>-44</v>
      </c>
      <c r="C2">
        <v>76</v>
      </c>
      <c r="D2">
        <v>-29</v>
      </c>
      <c r="E2">
        <v>-46</v>
      </c>
      <c r="F2">
        <v>-36</v>
      </c>
      <c r="G2">
        <v>-41</v>
      </c>
      <c r="H2">
        <v>72</v>
      </c>
    </row>
    <row r="3" spans="1:8" x14ac:dyDescent="0.35">
      <c r="A3">
        <v>10</v>
      </c>
      <c r="B3">
        <v>-44</v>
      </c>
      <c r="C3">
        <v>76</v>
      </c>
      <c r="D3">
        <v>-29</v>
      </c>
      <c r="E3">
        <v>-46</v>
      </c>
      <c r="F3">
        <v>-36</v>
      </c>
      <c r="G3">
        <v>-41</v>
      </c>
      <c r="H3">
        <v>72</v>
      </c>
    </row>
    <row r="4" spans="1:8" x14ac:dyDescent="0.35">
      <c r="A4">
        <v>20</v>
      </c>
      <c r="B4">
        <v>-44</v>
      </c>
      <c r="C4">
        <v>76</v>
      </c>
      <c r="D4">
        <v>-29</v>
      </c>
      <c r="E4">
        <v>-46</v>
      </c>
      <c r="F4">
        <v>-36</v>
      </c>
      <c r="G4">
        <v>-41</v>
      </c>
      <c r="H4">
        <v>72</v>
      </c>
    </row>
    <row r="5" spans="1:8" x14ac:dyDescent="0.35">
      <c r="A5">
        <v>30</v>
      </c>
      <c r="B5">
        <v>-44</v>
      </c>
      <c r="C5">
        <v>76</v>
      </c>
      <c r="D5">
        <v>-29</v>
      </c>
      <c r="E5">
        <v>-46</v>
      </c>
      <c r="F5">
        <v>-36</v>
      </c>
      <c r="G5">
        <v>-41</v>
      </c>
      <c r="H5">
        <v>72</v>
      </c>
    </row>
    <row r="6" spans="1:8" x14ac:dyDescent="0.35">
      <c r="A6">
        <v>40</v>
      </c>
      <c r="B6">
        <v>-44</v>
      </c>
      <c r="C6">
        <v>76</v>
      </c>
      <c r="D6">
        <v>-29</v>
      </c>
      <c r="E6">
        <v>-46</v>
      </c>
      <c r="F6">
        <v>-36</v>
      </c>
      <c r="G6">
        <v>-41</v>
      </c>
      <c r="H6">
        <v>72</v>
      </c>
    </row>
    <row r="7" spans="1:8" x14ac:dyDescent="0.35">
      <c r="A7">
        <v>50</v>
      </c>
      <c r="B7">
        <v>-44</v>
      </c>
      <c r="C7">
        <v>76</v>
      </c>
      <c r="D7">
        <v>-29</v>
      </c>
      <c r="E7">
        <v>-46</v>
      </c>
      <c r="F7">
        <v>-36</v>
      </c>
      <c r="G7">
        <v>-41</v>
      </c>
      <c r="H7">
        <v>72</v>
      </c>
    </row>
    <row r="8" spans="1:8" x14ac:dyDescent="0.35">
      <c r="A8">
        <v>60</v>
      </c>
      <c r="B8">
        <v>-44</v>
      </c>
      <c r="C8">
        <v>76</v>
      </c>
      <c r="D8">
        <v>-29</v>
      </c>
      <c r="E8">
        <v>-46</v>
      </c>
      <c r="F8">
        <v>-36</v>
      </c>
      <c r="G8">
        <v>-41</v>
      </c>
      <c r="H8">
        <v>72</v>
      </c>
    </row>
    <row r="9" spans="1:8" x14ac:dyDescent="0.35">
      <c r="A9">
        <v>70</v>
      </c>
      <c r="B9">
        <v>-44</v>
      </c>
      <c r="C9">
        <v>76</v>
      </c>
      <c r="D9">
        <v>-29</v>
      </c>
      <c r="E9">
        <v>-46</v>
      </c>
      <c r="F9">
        <v>-36</v>
      </c>
      <c r="G9">
        <v>-41</v>
      </c>
      <c r="H9">
        <v>72</v>
      </c>
    </row>
    <row r="10" spans="1:8" x14ac:dyDescent="0.35">
      <c r="A10">
        <v>80</v>
      </c>
      <c r="B10">
        <v>619</v>
      </c>
      <c r="C10">
        <v>635</v>
      </c>
      <c r="D10">
        <v>-29</v>
      </c>
      <c r="E10">
        <v>578</v>
      </c>
      <c r="F10">
        <v>27</v>
      </c>
      <c r="G10">
        <v>785</v>
      </c>
      <c r="H10">
        <v>603</v>
      </c>
    </row>
    <row r="11" spans="1:8" x14ac:dyDescent="0.35">
      <c r="A11">
        <v>90</v>
      </c>
      <c r="B11">
        <v>298</v>
      </c>
      <c r="C11">
        <v>1121</v>
      </c>
      <c r="D11">
        <v>1127</v>
      </c>
      <c r="E11">
        <v>1165</v>
      </c>
      <c r="F11">
        <v>1139</v>
      </c>
      <c r="G11">
        <v>1173</v>
      </c>
      <c r="H11">
        <v>1164</v>
      </c>
    </row>
    <row r="12" spans="1:8" x14ac:dyDescent="0.35">
      <c r="A12">
        <v>100</v>
      </c>
      <c r="B12">
        <v>123</v>
      </c>
      <c r="C12">
        <v>292</v>
      </c>
      <c r="D12">
        <v>1188</v>
      </c>
      <c r="E12">
        <v>1187</v>
      </c>
      <c r="F12">
        <v>1187</v>
      </c>
      <c r="G12">
        <v>1190</v>
      </c>
      <c r="H12">
        <v>1187</v>
      </c>
    </row>
    <row r="13" spans="1:8" x14ac:dyDescent="0.35">
      <c r="A13">
        <v>110</v>
      </c>
      <c r="B13">
        <v>110</v>
      </c>
      <c r="C13">
        <v>35</v>
      </c>
      <c r="D13">
        <v>324</v>
      </c>
      <c r="E13">
        <v>582</v>
      </c>
      <c r="F13">
        <v>1186</v>
      </c>
      <c r="G13">
        <v>1187</v>
      </c>
      <c r="H13">
        <v>1191</v>
      </c>
    </row>
    <row r="14" spans="1:8" x14ac:dyDescent="0.35">
      <c r="A14">
        <v>120</v>
      </c>
      <c r="B14">
        <v>98</v>
      </c>
      <c r="C14">
        <v>56</v>
      </c>
      <c r="D14">
        <v>-23</v>
      </c>
      <c r="E14">
        <v>3</v>
      </c>
      <c r="F14">
        <v>454</v>
      </c>
      <c r="G14">
        <v>706</v>
      </c>
      <c r="H14">
        <v>1182</v>
      </c>
    </row>
    <row r="15" spans="1:8" x14ac:dyDescent="0.35">
      <c r="A15">
        <v>130</v>
      </c>
      <c r="B15">
        <v>109</v>
      </c>
      <c r="C15">
        <v>96</v>
      </c>
      <c r="D15">
        <v>-6</v>
      </c>
      <c r="E15">
        <v>-2</v>
      </c>
      <c r="F15">
        <v>-5</v>
      </c>
      <c r="G15">
        <v>58</v>
      </c>
      <c r="H15">
        <v>580</v>
      </c>
    </row>
    <row r="16" spans="1:8" x14ac:dyDescent="0.35">
      <c r="A16">
        <v>140</v>
      </c>
      <c r="B16">
        <v>128</v>
      </c>
      <c r="C16">
        <v>122</v>
      </c>
      <c r="D16">
        <v>58</v>
      </c>
      <c r="E16">
        <v>51</v>
      </c>
      <c r="F16">
        <v>8</v>
      </c>
      <c r="G16">
        <v>26</v>
      </c>
      <c r="H16">
        <v>171</v>
      </c>
    </row>
    <row r="17" spans="1:8" x14ac:dyDescent="0.35">
      <c r="A17">
        <v>150</v>
      </c>
      <c r="B17">
        <v>119</v>
      </c>
      <c r="C17">
        <v>129</v>
      </c>
      <c r="D17">
        <v>116</v>
      </c>
      <c r="E17">
        <v>111</v>
      </c>
      <c r="F17">
        <v>86</v>
      </c>
      <c r="G17">
        <v>83</v>
      </c>
      <c r="H17">
        <v>19</v>
      </c>
    </row>
    <row r="18" spans="1:8" x14ac:dyDescent="0.35">
      <c r="A18">
        <v>160</v>
      </c>
      <c r="B18">
        <v>125</v>
      </c>
      <c r="C18">
        <v>135</v>
      </c>
      <c r="D18">
        <v>137</v>
      </c>
      <c r="E18">
        <v>160</v>
      </c>
      <c r="F18">
        <v>128</v>
      </c>
      <c r="G18">
        <v>154</v>
      </c>
      <c r="H18">
        <v>74</v>
      </c>
    </row>
    <row r="19" spans="1:8" x14ac:dyDescent="0.35">
      <c r="A19">
        <v>170</v>
      </c>
      <c r="B19">
        <v>133</v>
      </c>
      <c r="C19">
        <v>143</v>
      </c>
      <c r="D19">
        <v>161</v>
      </c>
      <c r="E19">
        <v>153</v>
      </c>
      <c r="F19">
        <v>155</v>
      </c>
      <c r="G19">
        <v>189</v>
      </c>
      <c r="H19">
        <v>166</v>
      </c>
    </row>
    <row r="20" spans="1:8" x14ac:dyDescent="0.35">
      <c r="A20">
        <v>180</v>
      </c>
      <c r="B20">
        <v>108</v>
      </c>
      <c r="C20">
        <v>131</v>
      </c>
      <c r="D20">
        <v>167</v>
      </c>
      <c r="E20">
        <v>156</v>
      </c>
      <c r="F20">
        <v>175</v>
      </c>
      <c r="G20">
        <v>180</v>
      </c>
      <c r="H20">
        <v>167</v>
      </c>
    </row>
    <row r="21" spans="1:8" x14ac:dyDescent="0.35">
      <c r="A21">
        <v>190</v>
      </c>
      <c r="B21">
        <v>118</v>
      </c>
      <c r="C21">
        <v>130</v>
      </c>
      <c r="D21">
        <v>175</v>
      </c>
      <c r="E21">
        <v>156</v>
      </c>
      <c r="F21">
        <v>179</v>
      </c>
      <c r="G21">
        <v>174</v>
      </c>
      <c r="H21">
        <v>139</v>
      </c>
    </row>
    <row r="22" spans="1:8" x14ac:dyDescent="0.35">
      <c r="A22" s="1">
        <v>200</v>
      </c>
      <c r="B22" s="1">
        <v>123</v>
      </c>
      <c r="C22" s="1">
        <v>137</v>
      </c>
      <c r="D22" s="1">
        <v>151</v>
      </c>
      <c r="E22" s="1">
        <v>145</v>
      </c>
      <c r="F22" s="1">
        <v>153</v>
      </c>
      <c r="G22" s="1">
        <v>193</v>
      </c>
      <c r="H22" s="1">
        <v>153</v>
      </c>
    </row>
    <row r="23" spans="1:8" x14ac:dyDescent="0.35">
      <c r="A23" s="1">
        <v>210</v>
      </c>
      <c r="B23" s="1">
        <v>102</v>
      </c>
      <c r="C23" s="1">
        <v>135</v>
      </c>
      <c r="D23" s="1">
        <v>147</v>
      </c>
      <c r="E23" s="1">
        <v>159</v>
      </c>
      <c r="F23" s="1">
        <v>151</v>
      </c>
      <c r="G23" s="1">
        <v>214</v>
      </c>
      <c r="H23" s="1">
        <v>165</v>
      </c>
    </row>
    <row r="24" spans="1:8" x14ac:dyDescent="0.35">
      <c r="A24" s="1">
        <v>220</v>
      </c>
      <c r="B24" s="1">
        <v>105</v>
      </c>
      <c r="C24" s="1">
        <v>137</v>
      </c>
      <c r="D24" s="1">
        <v>119</v>
      </c>
      <c r="E24" s="1">
        <v>173</v>
      </c>
      <c r="F24" s="1">
        <v>172</v>
      </c>
      <c r="G24" s="1">
        <v>190</v>
      </c>
      <c r="H24" s="1">
        <v>174</v>
      </c>
    </row>
    <row r="25" spans="1:8" x14ac:dyDescent="0.35">
      <c r="A25" s="1">
        <v>230</v>
      </c>
      <c r="B25" s="1">
        <v>108</v>
      </c>
      <c r="C25" s="1">
        <v>146</v>
      </c>
      <c r="D25" s="1">
        <v>123</v>
      </c>
      <c r="E25" s="1">
        <v>168</v>
      </c>
      <c r="F25" s="1">
        <v>177</v>
      </c>
      <c r="G25" s="1">
        <v>164</v>
      </c>
      <c r="H25" s="1">
        <v>173</v>
      </c>
    </row>
    <row r="26" spans="1:8" x14ac:dyDescent="0.35">
      <c r="A26" s="1">
        <v>240</v>
      </c>
      <c r="B26" s="1">
        <v>100</v>
      </c>
      <c r="C26" s="1">
        <v>138</v>
      </c>
      <c r="D26" s="1">
        <v>126</v>
      </c>
      <c r="E26" s="1">
        <v>180</v>
      </c>
      <c r="F26" s="1">
        <v>191</v>
      </c>
      <c r="G26" s="1">
        <v>157</v>
      </c>
      <c r="H26" s="1">
        <v>182</v>
      </c>
    </row>
    <row r="27" spans="1:8" x14ac:dyDescent="0.35">
      <c r="A27" s="1">
        <v>250</v>
      </c>
      <c r="B27" s="1">
        <v>99</v>
      </c>
      <c r="C27" s="1">
        <v>150</v>
      </c>
      <c r="D27" s="1">
        <v>133</v>
      </c>
      <c r="E27" s="1">
        <v>168</v>
      </c>
      <c r="F27" s="1">
        <v>175</v>
      </c>
      <c r="G27" s="1">
        <v>175</v>
      </c>
      <c r="H27" s="1">
        <v>184</v>
      </c>
    </row>
    <row r="28" spans="1:8" x14ac:dyDescent="0.35">
      <c r="A28" s="1">
        <v>260</v>
      </c>
      <c r="B28" s="1">
        <v>113</v>
      </c>
      <c r="C28" s="1">
        <v>157</v>
      </c>
      <c r="D28" s="1">
        <v>140</v>
      </c>
      <c r="E28" s="1">
        <v>147</v>
      </c>
      <c r="F28" s="1">
        <v>139</v>
      </c>
      <c r="G28" s="1">
        <v>183</v>
      </c>
      <c r="H28" s="1">
        <v>201</v>
      </c>
    </row>
    <row r="29" spans="1:8" x14ac:dyDescent="0.35">
      <c r="A29" s="1">
        <v>270</v>
      </c>
      <c r="B29" s="1">
        <v>97</v>
      </c>
      <c r="C29" s="1">
        <v>150</v>
      </c>
      <c r="D29" s="1">
        <v>138</v>
      </c>
      <c r="E29" s="1">
        <v>130</v>
      </c>
      <c r="F29" s="1">
        <v>137</v>
      </c>
      <c r="G29" s="1">
        <v>171</v>
      </c>
      <c r="H29" s="1">
        <v>197</v>
      </c>
    </row>
    <row r="30" spans="1:8" x14ac:dyDescent="0.35">
      <c r="A30" s="1">
        <v>280</v>
      </c>
      <c r="B30" s="1">
        <v>102</v>
      </c>
      <c r="C30" s="1">
        <v>141</v>
      </c>
      <c r="D30" s="1">
        <v>126</v>
      </c>
      <c r="E30" s="1">
        <v>141</v>
      </c>
      <c r="F30" s="1">
        <v>148</v>
      </c>
      <c r="G30" s="1">
        <v>176</v>
      </c>
      <c r="H30" s="1">
        <v>192</v>
      </c>
    </row>
    <row r="31" spans="1:8" x14ac:dyDescent="0.35">
      <c r="A31" s="1">
        <v>290</v>
      </c>
      <c r="B31" s="1">
        <v>110</v>
      </c>
      <c r="C31" s="1">
        <v>147</v>
      </c>
      <c r="D31" s="1">
        <v>117</v>
      </c>
      <c r="E31" s="1">
        <v>151</v>
      </c>
      <c r="F31" s="1">
        <v>153</v>
      </c>
      <c r="G31" s="1">
        <v>190</v>
      </c>
      <c r="H31" s="1">
        <v>197</v>
      </c>
    </row>
    <row r="32" spans="1:8" x14ac:dyDescent="0.35">
      <c r="A32" s="1">
        <v>300</v>
      </c>
      <c r="B32" s="1">
        <v>105</v>
      </c>
      <c r="C32" s="1">
        <v>127</v>
      </c>
      <c r="D32" s="1">
        <v>121</v>
      </c>
      <c r="E32" s="1">
        <v>160</v>
      </c>
      <c r="F32" s="1">
        <v>154</v>
      </c>
      <c r="G32" s="1">
        <v>176</v>
      </c>
      <c r="H32" s="1">
        <v>211</v>
      </c>
    </row>
    <row r="33" spans="1:8" x14ac:dyDescent="0.35">
      <c r="A33" s="1">
        <v>310</v>
      </c>
      <c r="B33" s="1">
        <v>109</v>
      </c>
      <c r="C33" s="1">
        <v>132</v>
      </c>
      <c r="D33" s="1">
        <v>125</v>
      </c>
      <c r="E33" s="1">
        <v>147</v>
      </c>
      <c r="F33" s="1">
        <v>151</v>
      </c>
      <c r="G33" s="1">
        <v>177</v>
      </c>
      <c r="H33" s="1">
        <v>207</v>
      </c>
    </row>
    <row r="34" spans="1:8" x14ac:dyDescent="0.35">
      <c r="A34" s="1">
        <v>320</v>
      </c>
      <c r="B34" s="1">
        <v>124</v>
      </c>
      <c r="C34" s="1">
        <v>149</v>
      </c>
      <c r="D34" s="1">
        <v>129</v>
      </c>
      <c r="E34" s="1">
        <v>136</v>
      </c>
      <c r="F34" s="1">
        <v>152</v>
      </c>
      <c r="G34" s="1">
        <v>182</v>
      </c>
      <c r="H34" s="1">
        <v>164</v>
      </c>
    </row>
    <row r="35" spans="1:8" x14ac:dyDescent="0.35">
      <c r="A35" s="1">
        <v>330</v>
      </c>
      <c r="B35" s="1">
        <v>110</v>
      </c>
      <c r="C35" s="1">
        <v>151</v>
      </c>
      <c r="D35" s="1">
        <v>133</v>
      </c>
      <c r="E35" s="1">
        <v>138</v>
      </c>
      <c r="F35" s="1">
        <v>174</v>
      </c>
      <c r="G35" s="1">
        <v>183</v>
      </c>
      <c r="H35" s="1">
        <v>162</v>
      </c>
    </row>
    <row r="36" spans="1:8" x14ac:dyDescent="0.35">
      <c r="A36" s="1">
        <v>340</v>
      </c>
      <c r="B36" s="1">
        <v>116</v>
      </c>
      <c r="C36" s="1">
        <v>153</v>
      </c>
      <c r="D36" s="1">
        <v>139</v>
      </c>
      <c r="E36" s="1">
        <v>150</v>
      </c>
      <c r="F36" s="1">
        <v>170</v>
      </c>
      <c r="G36" s="1">
        <v>181</v>
      </c>
      <c r="H36" s="1">
        <v>160</v>
      </c>
    </row>
    <row r="37" spans="1:8" x14ac:dyDescent="0.35">
      <c r="A37" s="1">
        <v>350</v>
      </c>
      <c r="B37" s="1">
        <v>128</v>
      </c>
      <c r="C37" s="1">
        <v>159</v>
      </c>
      <c r="D37" s="1">
        <v>134</v>
      </c>
      <c r="E37" s="1">
        <v>159</v>
      </c>
      <c r="F37" s="1">
        <v>155</v>
      </c>
      <c r="G37" s="1">
        <v>181</v>
      </c>
      <c r="H37" s="1">
        <v>165</v>
      </c>
    </row>
    <row r="38" spans="1:8" x14ac:dyDescent="0.35">
      <c r="A38" s="1">
        <v>360</v>
      </c>
      <c r="B38" s="1">
        <v>115</v>
      </c>
      <c r="C38" s="1">
        <v>155</v>
      </c>
      <c r="D38" s="1">
        <v>134</v>
      </c>
      <c r="E38" s="1">
        <v>165</v>
      </c>
      <c r="F38" s="1">
        <v>166</v>
      </c>
      <c r="G38" s="1">
        <v>198</v>
      </c>
      <c r="H38" s="1">
        <v>169</v>
      </c>
    </row>
    <row r="39" spans="1:8" x14ac:dyDescent="0.35">
      <c r="A39" s="1">
        <v>370</v>
      </c>
      <c r="B39" s="1">
        <v>127</v>
      </c>
      <c r="C39" s="1">
        <v>158</v>
      </c>
      <c r="D39" s="1">
        <v>127</v>
      </c>
      <c r="E39" s="1">
        <v>166</v>
      </c>
      <c r="F39" s="1">
        <v>177</v>
      </c>
      <c r="G39" s="1">
        <v>211</v>
      </c>
      <c r="H39" s="1">
        <v>192</v>
      </c>
    </row>
    <row r="40" spans="1:8" x14ac:dyDescent="0.35">
      <c r="A40" s="1">
        <v>380</v>
      </c>
      <c r="B40" s="1">
        <v>147</v>
      </c>
      <c r="C40" s="1">
        <v>153</v>
      </c>
      <c r="D40" s="1">
        <v>130</v>
      </c>
      <c r="E40" s="1">
        <v>158</v>
      </c>
      <c r="F40" s="1">
        <v>159</v>
      </c>
      <c r="G40" s="1">
        <v>191</v>
      </c>
      <c r="H40" s="1">
        <v>186</v>
      </c>
    </row>
    <row r="41" spans="1:8" x14ac:dyDescent="0.35">
      <c r="A41" s="1">
        <v>390</v>
      </c>
      <c r="B41" s="1">
        <v>137</v>
      </c>
      <c r="C41" s="1">
        <v>142</v>
      </c>
      <c r="D41" s="1">
        <v>140</v>
      </c>
      <c r="E41" s="1">
        <v>171</v>
      </c>
      <c r="F41" s="1">
        <v>149</v>
      </c>
      <c r="G41" s="1">
        <v>151</v>
      </c>
      <c r="H41" s="1">
        <v>180</v>
      </c>
    </row>
    <row r="42" spans="1:8" x14ac:dyDescent="0.35">
      <c r="A42" s="1">
        <v>400</v>
      </c>
      <c r="B42" s="1">
        <v>133</v>
      </c>
      <c r="C42" s="1">
        <v>132</v>
      </c>
      <c r="D42" s="1">
        <v>143</v>
      </c>
      <c r="E42" s="1">
        <v>171</v>
      </c>
      <c r="F42" s="1">
        <v>152</v>
      </c>
      <c r="G42" s="1">
        <v>158</v>
      </c>
      <c r="H42" s="1">
        <v>184</v>
      </c>
    </row>
    <row r="43" spans="1:8" x14ac:dyDescent="0.35">
      <c r="A43" s="1">
        <v>410</v>
      </c>
      <c r="B43" s="1">
        <v>138</v>
      </c>
      <c r="C43" s="1">
        <v>133</v>
      </c>
      <c r="D43" s="1">
        <v>145</v>
      </c>
      <c r="E43" s="1">
        <v>161</v>
      </c>
      <c r="F43" s="1">
        <v>164</v>
      </c>
      <c r="G43" s="1">
        <v>168</v>
      </c>
      <c r="H43" s="1">
        <v>183</v>
      </c>
    </row>
    <row r="44" spans="1:8" x14ac:dyDescent="0.35">
      <c r="A44" s="1">
        <v>420</v>
      </c>
      <c r="B44" s="1">
        <v>112</v>
      </c>
      <c r="C44" s="1">
        <v>131</v>
      </c>
      <c r="D44" s="1">
        <v>134</v>
      </c>
      <c r="E44" s="1">
        <v>153</v>
      </c>
      <c r="F44" s="1">
        <v>186</v>
      </c>
      <c r="G44" s="1">
        <v>163</v>
      </c>
      <c r="H44" s="1">
        <v>181</v>
      </c>
    </row>
    <row r="45" spans="1:8" x14ac:dyDescent="0.35">
      <c r="A45" s="1">
        <v>430</v>
      </c>
      <c r="B45" s="1">
        <v>123</v>
      </c>
      <c r="C45" s="1">
        <v>132</v>
      </c>
      <c r="D45" s="1">
        <v>123</v>
      </c>
      <c r="E45" s="1">
        <v>147</v>
      </c>
      <c r="F45" s="1">
        <v>180</v>
      </c>
      <c r="G45" s="1">
        <v>172</v>
      </c>
      <c r="H45" s="1">
        <v>202</v>
      </c>
    </row>
    <row r="46" spans="1:8" x14ac:dyDescent="0.35">
      <c r="A46" s="1">
        <v>440</v>
      </c>
      <c r="B46" s="1">
        <v>137</v>
      </c>
      <c r="C46" s="1">
        <v>147</v>
      </c>
      <c r="D46" s="1">
        <v>120</v>
      </c>
      <c r="E46" s="1">
        <v>143</v>
      </c>
      <c r="F46" s="1">
        <v>150</v>
      </c>
      <c r="G46" s="1">
        <v>189</v>
      </c>
      <c r="H46" s="1">
        <v>219</v>
      </c>
    </row>
    <row r="47" spans="1:8" x14ac:dyDescent="0.35">
      <c r="A47" s="1">
        <v>450</v>
      </c>
      <c r="B47" s="1">
        <v>118</v>
      </c>
      <c r="C47" s="1">
        <v>147</v>
      </c>
      <c r="D47" s="1">
        <v>132</v>
      </c>
      <c r="E47" s="1">
        <v>163</v>
      </c>
      <c r="F47" s="1">
        <v>131</v>
      </c>
      <c r="G47" s="1">
        <v>199</v>
      </c>
      <c r="H47" s="1">
        <v>189</v>
      </c>
    </row>
    <row r="48" spans="1:8" x14ac:dyDescent="0.35">
      <c r="A48" s="1">
        <v>460</v>
      </c>
      <c r="B48" s="1">
        <v>116</v>
      </c>
      <c r="C48" s="1">
        <v>156</v>
      </c>
      <c r="D48" s="1">
        <v>135</v>
      </c>
      <c r="E48" s="1">
        <v>173</v>
      </c>
      <c r="F48" s="1">
        <v>139</v>
      </c>
      <c r="G48" s="1">
        <v>175</v>
      </c>
      <c r="H48" s="1">
        <v>161</v>
      </c>
    </row>
    <row r="49" spans="1:8" x14ac:dyDescent="0.35">
      <c r="A49" s="1">
        <v>470</v>
      </c>
      <c r="B49" s="1">
        <v>112</v>
      </c>
      <c r="C49" s="1">
        <v>157</v>
      </c>
      <c r="D49" s="1">
        <v>141</v>
      </c>
      <c r="E49" s="1">
        <v>172</v>
      </c>
      <c r="F49" s="1">
        <v>152</v>
      </c>
      <c r="G49" s="1">
        <v>192</v>
      </c>
      <c r="H49" s="1">
        <v>162</v>
      </c>
    </row>
    <row r="50" spans="1:8" x14ac:dyDescent="0.35">
      <c r="A50" s="1">
        <v>480</v>
      </c>
      <c r="B50" s="1">
        <v>98</v>
      </c>
      <c r="C50" s="1">
        <v>145</v>
      </c>
      <c r="D50" s="1">
        <v>153</v>
      </c>
      <c r="E50" s="1">
        <v>160</v>
      </c>
      <c r="F50" s="1">
        <v>168</v>
      </c>
      <c r="G50" s="1">
        <v>193</v>
      </c>
      <c r="H50" s="1">
        <v>170</v>
      </c>
    </row>
    <row r="51" spans="1:8" x14ac:dyDescent="0.35">
      <c r="A51" s="1">
        <v>490</v>
      </c>
      <c r="B51" s="1">
        <v>107</v>
      </c>
      <c r="C51" s="1">
        <v>154</v>
      </c>
      <c r="D51" s="1">
        <v>169</v>
      </c>
      <c r="E51" s="1">
        <v>144</v>
      </c>
      <c r="F51" s="1">
        <v>158</v>
      </c>
      <c r="G51" s="1">
        <v>188</v>
      </c>
      <c r="H51" s="1">
        <v>175</v>
      </c>
    </row>
    <row r="52" spans="1:8" x14ac:dyDescent="0.35">
      <c r="A52" s="1">
        <v>500</v>
      </c>
      <c r="B52" s="1">
        <v>130</v>
      </c>
      <c r="C52" s="1">
        <v>160</v>
      </c>
      <c r="D52" s="1">
        <v>164</v>
      </c>
      <c r="E52" s="1">
        <v>117</v>
      </c>
      <c r="F52" s="1">
        <v>140</v>
      </c>
      <c r="G52" s="1">
        <v>180</v>
      </c>
      <c r="H52" s="1">
        <v>170</v>
      </c>
    </row>
    <row r="53" spans="1:8" x14ac:dyDescent="0.35">
      <c r="A53" s="1">
        <v>510</v>
      </c>
      <c r="B53" s="1">
        <v>129</v>
      </c>
      <c r="C53" s="1">
        <v>144</v>
      </c>
      <c r="D53" s="1">
        <v>141</v>
      </c>
      <c r="E53" s="1">
        <v>128</v>
      </c>
      <c r="F53" s="1">
        <v>154</v>
      </c>
      <c r="G53" s="1">
        <v>190</v>
      </c>
      <c r="H53" s="1">
        <v>194</v>
      </c>
    </row>
    <row r="54" spans="1:8" x14ac:dyDescent="0.35">
      <c r="A54" s="1">
        <v>520</v>
      </c>
      <c r="B54" s="1">
        <v>133</v>
      </c>
      <c r="C54" s="1">
        <v>139</v>
      </c>
      <c r="D54" s="1">
        <v>123</v>
      </c>
      <c r="E54" s="1">
        <v>145</v>
      </c>
      <c r="F54" s="1">
        <v>164</v>
      </c>
      <c r="G54" s="1">
        <v>208</v>
      </c>
      <c r="H54" s="1">
        <v>176</v>
      </c>
    </row>
    <row r="55" spans="1:8" x14ac:dyDescent="0.35">
      <c r="A55" s="1">
        <v>530</v>
      </c>
      <c r="B55" s="1">
        <v>131</v>
      </c>
      <c r="C55" s="1">
        <v>143</v>
      </c>
      <c r="D55" s="1">
        <v>114</v>
      </c>
      <c r="E55" s="1">
        <v>147</v>
      </c>
      <c r="F55" s="1">
        <v>164</v>
      </c>
      <c r="G55" s="1">
        <v>190</v>
      </c>
      <c r="H55" s="1">
        <v>193</v>
      </c>
    </row>
    <row r="56" spans="1:8" x14ac:dyDescent="0.35">
      <c r="A56" s="1">
        <v>540</v>
      </c>
      <c r="B56" s="1">
        <v>113</v>
      </c>
      <c r="C56" s="1">
        <v>131</v>
      </c>
      <c r="D56" s="1">
        <v>118</v>
      </c>
      <c r="E56" s="1">
        <v>155</v>
      </c>
      <c r="F56" s="1">
        <v>169</v>
      </c>
      <c r="G56" s="1">
        <v>158</v>
      </c>
      <c r="H56" s="1">
        <v>191</v>
      </c>
    </row>
    <row r="57" spans="1:8" x14ac:dyDescent="0.35">
      <c r="A57" s="1">
        <v>550</v>
      </c>
      <c r="B57" s="1">
        <v>125</v>
      </c>
      <c r="C57" s="1">
        <v>123</v>
      </c>
      <c r="D57" s="1">
        <v>127</v>
      </c>
      <c r="E57" s="1">
        <v>137</v>
      </c>
      <c r="F57" s="1">
        <v>177</v>
      </c>
      <c r="G57" s="1">
        <v>149</v>
      </c>
      <c r="H57" s="1">
        <v>187</v>
      </c>
    </row>
    <row r="58" spans="1:8" x14ac:dyDescent="0.35">
      <c r="A58" s="1">
        <v>560</v>
      </c>
      <c r="B58" s="1">
        <v>150</v>
      </c>
      <c r="C58" s="1">
        <v>135</v>
      </c>
      <c r="D58" s="1">
        <v>136</v>
      </c>
      <c r="E58" s="1">
        <v>128</v>
      </c>
      <c r="F58" s="1">
        <v>177</v>
      </c>
      <c r="G58" s="1">
        <v>161</v>
      </c>
      <c r="H58" s="1">
        <v>191</v>
      </c>
    </row>
    <row r="59" spans="1:8" x14ac:dyDescent="0.35">
      <c r="A59" s="1">
        <v>570</v>
      </c>
      <c r="B59" s="1">
        <v>134</v>
      </c>
      <c r="C59" s="1">
        <v>136</v>
      </c>
      <c r="D59" s="1">
        <v>134</v>
      </c>
      <c r="E59" s="1">
        <v>145</v>
      </c>
      <c r="F59" s="1">
        <v>169</v>
      </c>
      <c r="G59" s="1">
        <v>163</v>
      </c>
      <c r="H59" s="1">
        <v>215</v>
      </c>
    </row>
    <row r="60" spans="1:8" x14ac:dyDescent="0.35">
      <c r="A60" s="1">
        <v>580</v>
      </c>
      <c r="B60" s="1">
        <v>144</v>
      </c>
      <c r="C60" s="1">
        <v>144</v>
      </c>
      <c r="D60" s="1">
        <v>135</v>
      </c>
      <c r="E60" s="1">
        <v>154</v>
      </c>
      <c r="F60" s="1">
        <v>145</v>
      </c>
      <c r="G60" s="1">
        <v>163</v>
      </c>
      <c r="H60" s="1">
        <v>197</v>
      </c>
    </row>
    <row r="61" spans="1:8" x14ac:dyDescent="0.35">
      <c r="A61" s="1">
        <v>590</v>
      </c>
      <c r="B61" s="1">
        <v>149</v>
      </c>
      <c r="C61" s="1">
        <v>157</v>
      </c>
      <c r="D61" s="1">
        <v>130</v>
      </c>
      <c r="E61" s="1">
        <v>159</v>
      </c>
      <c r="F61" s="1">
        <v>154</v>
      </c>
      <c r="G61" s="1">
        <v>176</v>
      </c>
      <c r="H61" s="1">
        <v>155</v>
      </c>
    </row>
    <row r="62" spans="1:8" x14ac:dyDescent="0.35">
      <c r="A62" s="1">
        <v>600</v>
      </c>
      <c r="B62" s="1">
        <v>125</v>
      </c>
      <c r="C62" s="1">
        <v>154</v>
      </c>
      <c r="D62" s="1">
        <v>127</v>
      </c>
      <c r="E62" s="1">
        <v>172</v>
      </c>
      <c r="F62" s="1">
        <v>173</v>
      </c>
      <c r="G62" s="1">
        <v>187</v>
      </c>
      <c r="H62" s="1">
        <v>151</v>
      </c>
    </row>
    <row r="63" spans="1:8" x14ac:dyDescent="0.35">
      <c r="A63" s="1">
        <v>610</v>
      </c>
      <c r="B63" s="1">
        <v>133</v>
      </c>
      <c r="C63" s="1">
        <v>159</v>
      </c>
      <c r="D63" s="1">
        <v>122</v>
      </c>
      <c r="E63" s="1">
        <v>165</v>
      </c>
      <c r="F63" s="1">
        <v>177</v>
      </c>
      <c r="G63" s="1">
        <v>184</v>
      </c>
      <c r="H63" s="1">
        <v>161</v>
      </c>
    </row>
    <row r="64" spans="1:8" x14ac:dyDescent="0.35">
      <c r="A64" s="1">
        <v>620</v>
      </c>
      <c r="B64" s="1">
        <v>148</v>
      </c>
      <c r="C64" s="1">
        <v>155</v>
      </c>
      <c r="D64" s="1">
        <v>124</v>
      </c>
      <c r="E64" s="1">
        <v>164</v>
      </c>
      <c r="F64" s="1">
        <v>152</v>
      </c>
      <c r="G64" s="1">
        <v>179</v>
      </c>
      <c r="H64" s="1">
        <v>166</v>
      </c>
    </row>
    <row r="65" spans="1:15" x14ac:dyDescent="0.35">
      <c r="A65" s="1">
        <v>630</v>
      </c>
      <c r="B65" s="1">
        <v>131</v>
      </c>
      <c r="C65" s="1">
        <v>144</v>
      </c>
      <c r="D65" s="1">
        <v>127</v>
      </c>
      <c r="E65" s="1">
        <v>180</v>
      </c>
      <c r="F65" s="1">
        <v>146</v>
      </c>
      <c r="G65" s="1">
        <v>192</v>
      </c>
      <c r="H65" s="1">
        <v>163</v>
      </c>
    </row>
    <row r="66" spans="1:15" x14ac:dyDescent="0.35">
      <c r="A66" s="1">
        <v>640</v>
      </c>
      <c r="B66" s="1">
        <v>152</v>
      </c>
      <c r="C66" s="1">
        <v>138</v>
      </c>
      <c r="D66" s="1">
        <v>133</v>
      </c>
      <c r="E66" s="1">
        <v>171</v>
      </c>
      <c r="F66" s="1">
        <v>123</v>
      </c>
      <c r="G66" s="1">
        <v>184</v>
      </c>
      <c r="H66" s="1">
        <v>193</v>
      </c>
    </row>
    <row r="67" spans="1:15" x14ac:dyDescent="0.35">
      <c r="A67" s="1">
        <v>650</v>
      </c>
      <c r="B67" s="1">
        <v>154</v>
      </c>
      <c r="C67" s="1">
        <v>143</v>
      </c>
      <c r="D67" s="1">
        <v>142</v>
      </c>
      <c r="E67" s="1">
        <v>156</v>
      </c>
      <c r="F67" s="1">
        <v>134</v>
      </c>
      <c r="G67" s="1">
        <v>183</v>
      </c>
      <c r="H67" s="1">
        <v>186</v>
      </c>
    </row>
    <row r="68" spans="1:15" x14ac:dyDescent="0.35">
      <c r="A68" s="1">
        <v>660</v>
      </c>
      <c r="B68" s="1">
        <v>118</v>
      </c>
      <c r="C68" s="1">
        <v>136</v>
      </c>
      <c r="D68" s="1">
        <v>136</v>
      </c>
      <c r="E68" s="1">
        <v>152</v>
      </c>
      <c r="F68" s="1">
        <v>147</v>
      </c>
      <c r="G68" s="1">
        <v>189</v>
      </c>
      <c r="H68" s="1">
        <v>182</v>
      </c>
    </row>
    <row r="69" spans="1:15" x14ac:dyDescent="0.35">
      <c r="A69" s="1">
        <v>670</v>
      </c>
      <c r="B69" s="1">
        <v>113</v>
      </c>
      <c r="C69" s="1">
        <v>132</v>
      </c>
      <c r="D69" s="1">
        <v>139</v>
      </c>
      <c r="E69" s="1">
        <v>151</v>
      </c>
      <c r="F69" s="1">
        <v>156</v>
      </c>
      <c r="G69" s="1">
        <v>209</v>
      </c>
      <c r="H69" s="1">
        <v>189</v>
      </c>
    </row>
    <row r="70" spans="1:15" x14ac:dyDescent="0.35">
      <c r="A70" s="1">
        <v>680</v>
      </c>
      <c r="B70" s="1">
        <v>117</v>
      </c>
      <c r="C70" s="1">
        <v>143</v>
      </c>
      <c r="D70" s="1">
        <v>130</v>
      </c>
      <c r="E70" s="1">
        <v>152</v>
      </c>
      <c r="F70" s="1">
        <v>139</v>
      </c>
      <c r="G70" s="1">
        <v>227</v>
      </c>
      <c r="H70" s="1">
        <v>181</v>
      </c>
    </row>
    <row r="71" spans="1:15" x14ac:dyDescent="0.35">
      <c r="A71" s="1">
        <v>690</v>
      </c>
      <c r="B71" s="1">
        <v>100</v>
      </c>
      <c r="C71" s="1">
        <v>142</v>
      </c>
      <c r="D71" s="1">
        <v>135</v>
      </c>
      <c r="E71" s="1">
        <v>171</v>
      </c>
      <c r="F71" s="1">
        <v>142</v>
      </c>
      <c r="G71" s="1">
        <v>200</v>
      </c>
      <c r="H71" s="1">
        <v>199</v>
      </c>
    </row>
    <row r="72" spans="1:15" x14ac:dyDescent="0.35">
      <c r="A72" s="1">
        <v>700</v>
      </c>
      <c r="B72" s="1">
        <v>108</v>
      </c>
      <c r="C72" s="1">
        <v>153</v>
      </c>
      <c r="D72" s="1">
        <v>148</v>
      </c>
      <c r="E72" s="1">
        <v>181</v>
      </c>
      <c r="F72" s="1">
        <v>153</v>
      </c>
      <c r="G72" s="1">
        <v>161</v>
      </c>
      <c r="H72" s="1">
        <v>221</v>
      </c>
    </row>
    <row r="73" spans="1:15" x14ac:dyDescent="0.35">
      <c r="A73" s="1">
        <v>710</v>
      </c>
      <c r="B73" s="1">
        <v>121</v>
      </c>
      <c r="C73" s="1">
        <v>158</v>
      </c>
      <c r="D73" s="1">
        <v>161</v>
      </c>
      <c r="E73" s="1">
        <v>174</v>
      </c>
      <c r="F73" s="1">
        <v>164</v>
      </c>
      <c r="G73" s="1">
        <v>156</v>
      </c>
      <c r="H73" s="1">
        <v>208</v>
      </c>
    </row>
    <row r="74" spans="1:15" x14ac:dyDescent="0.35">
      <c r="A74" s="1">
        <v>720</v>
      </c>
      <c r="B74" s="1">
        <v>102</v>
      </c>
      <c r="C74" s="1">
        <v>160</v>
      </c>
      <c r="D74" s="1">
        <v>159</v>
      </c>
      <c r="E74" s="1">
        <v>167</v>
      </c>
      <c r="F74" s="1">
        <v>158</v>
      </c>
      <c r="G74" s="1">
        <v>166</v>
      </c>
      <c r="H74" s="1">
        <v>162</v>
      </c>
    </row>
    <row r="75" spans="1:15" x14ac:dyDescent="0.35">
      <c r="A75" s="1">
        <v>730</v>
      </c>
      <c r="B75" s="1">
        <v>107</v>
      </c>
      <c r="C75" s="1">
        <v>168</v>
      </c>
      <c r="D75" s="1">
        <v>159</v>
      </c>
      <c r="E75" s="1">
        <v>136</v>
      </c>
      <c r="F75" s="1">
        <v>170</v>
      </c>
      <c r="G75" s="1">
        <v>169</v>
      </c>
      <c r="H75" s="1">
        <v>159</v>
      </c>
    </row>
    <row r="76" spans="1:15" x14ac:dyDescent="0.35">
      <c r="A76" s="1">
        <v>740</v>
      </c>
      <c r="B76" s="1">
        <v>134</v>
      </c>
      <c r="C76" s="1">
        <v>162</v>
      </c>
      <c r="D76" s="1">
        <v>137</v>
      </c>
      <c r="E76" s="1">
        <v>127</v>
      </c>
      <c r="F76" s="1">
        <v>175</v>
      </c>
      <c r="G76" s="1">
        <v>166</v>
      </c>
      <c r="H76" s="1">
        <v>164</v>
      </c>
    </row>
    <row r="77" spans="1:15" x14ac:dyDescent="0.35">
      <c r="A77" s="1">
        <v>750</v>
      </c>
      <c r="B77" s="1">
        <v>119</v>
      </c>
      <c r="C77" s="1">
        <v>154</v>
      </c>
      <c r="D77" s="1">
        <v>129</v>
      </c>
      <c r="E77" s="1">
        <v>141</v>
      </c>
      <c r="F77" s="1">
        <v>173</v>
      </c>
      <c r="G77" s="1">
        <v>184</v>
      </c>
      <c r="H77" s="1">
        <v>171</v>
      </c>
      <c r="J77" t="s">
        <v>9</v>
      </c>
      <c r="K77" t="s">
        <v>8</v>
      </c>
      <c r="M77" t="s">
        <v>10</v>
      </c>
      <c r="N77" t="s">
        <v>11</v>
      </c>
      <c r="O77" t="s">
        <v>12</v>
      </c>
    </row>
    <row r="78" spans="1:15" x14ac:dyDescent="0.35">
      <c r="A78" s="1">
        <v>760</v>
      </c>
      <c r="B78" s="1">
        <v>121</v>
      </c>
      <c r="C78" s="1">
        <v>151</v>
      </c>
      <c r="D78" s="1">
        <v>127</v>
      </c>
      <c r="E78" s="1">
        <v>142</v>
      </c>
      <c r="F78" s="1">
        <v>154</v>
      </c>
      <c r="G78" s="1">
        <v>185</v>
      </c>
      <c r="H78" s="1">
        <v>174</v>
      </c>
      <c r="J78" s="1">
        <v>1000</v>
      </c>
      <c r="K78">
        <v>121.75384615384615</v>
      </c>
      <c r="M78">
        <f>J78*2*PI()/60</f>
        <v>104.71975511965977</v>
      </c>
      <c r="N78">
        <f>K78/1000</f>
        <v>0.12175384615384616</v>
      </c>
      <c r="O78">
        <f>N78*25.6/1000</f>
        <v>3.1168984615384614E-3</v>
      </c>
    </row>
    <row r="79" spans="1:15" x14ac:dyDescent="0.35">
      <c r="A79" s="1">
        <v>770</v>
      </c>
      <c r="B79" s="1">
        <v>126</v>
      </c>
      <c r="C79" s="1">
        <v>143</v>
      </c>
      <c r="D79" s="1">
        <v>141</v>
      </c>
      <c r="E79" s="1">
        <v>137</v>
      </c>
      <c r="F79" s="1">
        <v>152</v>
      </c>
      <c r="G79" s="1">
        <v>166</v>
      </c>
      <c r="H79" s="1">
        <v>188</v>
      </c>
      <c r="J79" s="1">
        <v>2000</v>
      </c>
      <c r="K79">
        <v>147.12307692307692</v>
      </c>
      <c r="M79">
        <f t="shared" ref="M79:M84" si="0">J79*2*PI()/60</f>
        <v>209.43951023931953</v>
      </c>
      <c r="N79">
        <f t="shared" ref="N79:N84" si="1">K79/1000</f>
        <v>0.14712307692307691</v>
      </c>
      <c r="O79">
        <f t="shared" ref="O79:O84" si="2">N79*25.6/1000</f>
        <v>3.7663507692307688E-3</v>
      </c>
    </row>
    <row r="80" spans="1:15" x14ac:dyDescent="0.35">
      <c r="A80" s="1">
        <v>780</v>
      </c>
      <c r="B80" s="1">
        <v>109</v>
      </c>
      <c r="C80" s="1">
        <v>142</v>
      </c>
      <c r="D80" s="1">
        <v>140</v>
      </c>
      <c r="E80" s="1">
        <v>139</v>
      </c>
      <c r="F80" s="1">
        <v>167</v>
      </c>
      <c r="G80" s="1">
        <v>178</v>
      </c>
      <c r="H80" s="1">
        <v>179</v>
      </c>
      <c r="J80" s="1">
        <v>3000</v>
      </c>
      <c r="K80">
        <v>135.6</v>
      </c>
      <c r="M80">
        <f t="shared" si="0"/>
        <v>314.15926535897933</v>
      </c>
      <c r="N80">
        <f t="shared" si="1"/>
        <v>0.1356</v>
      </c>
      <c r="O80">
        <f t="shared" si="2"/>
        <v>3.4713600000000002E-3</v>
      </c>
    </row>
    <row r="81" spans="1:15" x14ac:dyDescent="0.35">
      <c r="A81" s="1">
        <v>790</v>
      </c>
      <c r="B81" s="1">
        <v>116</v>
      </c>
      <c r="C81" s="1">
        <v>152</v>
      </c>
      <c r="D81" s="1">
        <v>146</v>
      </c>
      <c r="E81" s="1">
        <v>139</v>
      </c>
      <c r="F81" s="1">
        <v>178</v>
      </c>
      <c r="G81" s="1">
        <v>191</v>
      </c>
      <c r="H81" s="1">
        <v>176</v>
      </c>
      <c r="J81" s="1">
        <v>4000</v>
      </c>
      <c r="K81">
        <v>153.78461538461539</v>
      </c>
      <c r="M81">
        <f t="shared" si="0"/>
        <v>418.87902047863906</v>
      </c>
      <c r="N81">
        <f t="shared" si="1"/>
        <v>0.15378461538461538</v>
      </c>
      <c r="O81">
        <f t="shared" si="2"/>
        <v>3.9368861538461543E-3</v>
      </c>
    </row>
    <row r="82" spans="1:15" x14ac:dyDescent="0.35">
      <c r="A82" s="1">
        <v>800</v>
      </c>
      <c r="B82" s="1">
        <v>138</v>
      </c>
      <c r="C82" s="1">
        <v>165</v>
      </c>
      <c r="D82" s="1">
        <v>154</v>
      </c>
      <c r="E82" s="1">
        <v>138</v>
      </c>
      <c r="F82" s="1">
        <v>177</v>
      </c>
      <c r="G82" s="1">
        <v>180</v>
      </c>
      <c r="H82" s="1">
        <v>175</v>
      </c>
      <c r="J82" s="1">
        <v>5000</v>
      </c>
      <c r="K82">
        <v>158.07692307692307</v>
      </c>
      <c r="M82">
        <f t="shared" si="0"/>
        <v>523.59877559829886</v>
      </c>
      <c r="N82">
        <f t="shared" si="1"/>
        <v>0.15807692307692306</v>
      </c>
      <c r="O82">
        <f t="shared" si="2"/>
        <v>4.0467692307692305E-3</v>
      </c>
    </row>
    <row r="83" spans="1:15" x14ac:dyDescent="0.35">
      <c r="A83" s="1">
        <v>810</v>
      </c>
      <c r="B83" s="1">
        <v>117</v>
      </c>
      <c r="C83" s="1">
        <v>170</v>
      </c>
      <c r="D83" s="1">
        <v>162</v>
      </c>
      <c r="E83" s="1">
        <v>154</v>
      </c>
      <c r="F83" s="1">
        <v>161</v>
      </c>
      <c r="G83" s="1">
        <v>174</v>
      </c>
      <c r="H83" s="1">
        <v>179</v>
      </c>
      <c r="J83" s="1">
        <v>6000</v>
      </c>
      <c r="K83">
        <v>180.69230769230768</v>
      </c>
      <c r="M83">
        <f t="shared" si="0"/>
        <v>628.31853071795865</v>
      </c>
      <c r="N83">
        <f t="shared" si="1"/>
        <v>0.18069230769230768</v>
      </c>
      <c r="O83">
        <f t="shared" si="2"/>
        <v>4.6257230769230764E-3</v>
      </c>
    </row>
    <row r="84" spans="1:15" x14ac:dyDescent="0.35">
      <c r="A84" s="1">
        <v>820</v>
      </c>
      <c r="B84" s="1">
        <v>131</v>
      </c>
      <c r="C84" s="1">
        <v>164</v>
      </c>
      <c r="D84" s="1">
        <v>145</v>
      </c>
      <c r="E84" s="1">
        <v>162</v>
      </c>
      <c r="F84" s="1">
        <v>130</v>
      </c>
      <c r="G84" s="1">
        <v>171</v>
      </c>
      <c r="H84" s="1">
        <v>183</v>
      </c>
      <c r="J84" s="1">
        <v>7000</v>
      </c>
      <c r="K84">
        <v>181.75384615384615</v>
      </c>
      <c r="M84">
        <f t="shared" si="0"/>
        <v>733.03828583761833</v>
      </c>
      <c r="N84">
        <f t="shared" si="1"/>
        <v>0.18175384615384615</v>
      </c>
      <c r="O84">
        <f t="shared" si="2"/>
        <v>4.6528984615384619E-3</v>
      </c>
    </row>
    <row r="85" spans="1:15" x14ac:dyDescent="0.35">
      <c r="A85" s="1">
        <v>830</v>
      </c>
      <c r="B85" s="1">
        <v>141</v>
      </c>
      <c r="C85" s="1">
        <v>158</v>
      </c>
      <c r="D85" s="1">
        <v>129</v>
      </c>
      <c r="E85" s="1">
        <v>157</v>
      </c>
      <c r="F85" s="1">
        <v>131</v>
      </c>
      <c r="G85" s="1">
        <v>196</v>
      </c>
      <c r="H85" s="1">
        <v>195</v>
      </c>
    </row>
    <row r="86" spans="1:15" x14ac:dyDescent="0.35">
      <c r="A86" s="1">
        <v>840</v>
      </c>
      <c r="B86" s="1">
        <v>124</v>
      </c>
      <c r="C86" s="1">
        <v>154</v>
      </c>
      <c r="D86" s="1">
        <v>113</v>
      </c>
      <c r="E86" s="1">
        <v>154</v>
      </c>
      <c r="F86" s="1">
        <v>147</v>
      </c>
      <c r="G86" s="1">
        <v>189</v>
      </c>
      <c r="H86" s="1">
        <v>200</v>
      </c>
    </row>
    <row r="87" spans="1:15" x14ac:dyDescent="0.35">
      <c r="B87">
        <f>AVERAGE(B22:B86)</f>
        <v>121.75384615384615</v>
      </c>
      <c r="C87">
        <f t="shared" ref="C87:G87" si="3">AVERAGE(C22:C86)</f>
        <v>147.12307692307692</v>
      </c>
      <c r="D87">
        <f t="shared" si="3"/>
        <v>135.6</v>
      </c>
      <c r="E87">
        <f t="shared" si="3"/>
        <v>153.78461538461539</v>
      </c>
      <c r="F87">
        <f t="shared" si="3"/>
        <v>158.07692307692307</v>
      </c>
      <c r="G87">
        <f t="shared" si="3"/>
        <v>180.69230769230768</v>
      </c>
      <c r="H87">
        <f>AVERAGE(H22:H86)</f>
        <v>181.75384615384615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Pessoles</dc:creator>
  <cp:lastModifiedBy>Xavier Pessoles</cp:lastModifiedBy>
  <dcterms:created xsi:type="dcterms:W3CDTF">2015-06-05T18:17:20Z</dcterms:created>
  <dcterms:modified xsi:type="dcterms:W3CDTF">2026-04-02T20:01:46Z</dcterms:modified>
</cp:coreProperties>
</file>